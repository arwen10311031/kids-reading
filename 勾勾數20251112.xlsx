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975755bc8dda9f/桌面/"/>
    </mc:Choice>
  </mc:AlternateContent>
  <xr:revisionPtr revIDLastSave="491" documentId="8_{A84FEBD3-D488-406E-BB11-BCA8D4DCCA06}" xr6:coauthVersionLast="47" xr6:coauthVersionMax="47" xr10:uidLastSave="{BDDA2861-61F5-4336-8AA4-E5B0DAAD8D16}"/>
  <bookViews>
    <workbookView xWindow="-103" yWindow="-103" windowWidth="23657" windowHeight="15240" activeTab="5" xr2:uid="{4D587C39-9079-440F-B7A2-994DC2065B99}"/>
  </bookViews>
  <sheets>
    <sheet name="202511" sheetId="1" r:id="rId1"/>
    <sheet name="202512" sheetId="2" r:id="rId2"/>
    <sheet name="202601" sheetId="3" r:id="rId3"/>
    <sheet name="202602" sheetId="4" r:id="rId4"/>
    <sheet name="202603" sheetId="5" r:id="rId5"/>
    <sheet name="202604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8" i="6" l="1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H8" i="6" l="1"/>
  <c r="AE8" i="5"/>
  <c r="AF8" i="5"/>
  <c r="AG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H8" i="5" l="1"/>
  <c r="AE8" i="4"/>
  <c r="AG8" i="3" l="1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D8" i="2"/>
  <c r="E8" i="2"/>
  <c r="F8" i="2"/>
  <c r="G8" i="2"/>
  <c r="H8" i="2"/>
  <c r="I8" i="2"/>
  <c r="C8" i="2"/>
  <c r="F7" i="2"/>
  <c r="K9" i="1"/>
  <c r="K10" i="1" s="1"/>
  <c r="D10" i="1"/>
  <c r="E10" i="1"/>
  <c r="F10" i="1"/>
  <c r="G10" i="1"/>
  <c r="H10" i="1"/>
  <c r="I10" i="1"/>
  <c r="J10" i="1"/>
  <c r="L10" i="1"/>
  <c r="M10" i="1"/>
  <c r="N10" i="1"/>
  <c r="O10" i="1"/>
  <c r="P10" i="1"/>
  <c r="Q10" i="1"/>
  <c r="R10" i="1"/>
  <c r="S10" i="1"/>
  <c r="T10" i="1"/>
  <c r="U10" i="1"/>
  <c r="V10" i="1"/>
  <c r="C10" i="1"/>
  <c r="AH8" i="3" l="1"/>
  <c r="AH8" i="2"/>
  <c r="W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hung</author>
  </authors>
  <commentList>
    <comment ref="F7" authorId="0" shapeId="0" xr:uid="{4E3036F6-38F9-4272-99AF-C30A6EEF55F4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新北校園通</t>
        </r>
        <r>
          <rPr>
            <sz val="9"/>
            <color indexed="81"/>
            <rFont val="Tahoma"/>
            <family val="2"/>
          </rPr>
          <t>150</t>
        </r>
        <r>
          <rPr>
            <sz val="9"/>
            <color indexed="81"/>
            <rFont val="細明體"/>
            <family val="3"/>
            <charset val="136"/>
          </rPr>
          <t>點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細明體"/>
            <family val="3"/>
            <charset val="136"/>
          </rPr>
          <t xml:space="preserve">元
</t>
        </r>
      </text>
    </comment>
    <comment ref="L7" authorId="0" shapeId="0" xr:uid="{332E1E60-785C-4DE6-9425-8E3F019504CC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尿布乾、水
</t>
        </r>
      </text>
    </comment>
    <comment ref="Q7" authorId="0" shapeId="0" xr:uid="{DE05AC1D-EA45-420B-AFB9-B45FD091494D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半夜自己上廁所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細明體"/>
            <family val="3"/>
            <charset val="136"/>
          </rPr>
          <t xml:space="preserve">
自己拔牙齒</t>
        </r>
        <r>
          <rPr>
            <sz val="9"/>
            <color indexed="81"/>
            <rFont val="Tahoma"/>
            <family val="2"/>
          </rPr>
          <t xml:space="preserve">10
</t>
        </r>
      </text>
    </comment>
    <comment ref="AC7" authorId="0" shapeId="0" xr:uid="{2A3D6710-8255-49D0-832A-32109E3B7322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自己打鼓半小時
</t>
        </r>
      </text>
    </comment>
    <comment ref="AD7" authorId="0" shapeId="0" xr:uid="{6AEBB8E4-97F5-412E-9C12-27068D9B0E2C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自己打鼓半小時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hung</author>
  </authors>
  <commentList>
    <comment ref="D7" authorId="0" shapeId="0" xr:uid="{752CEFAD-A39D-477C-A139-F085281EEF17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b/>
            <sz val="9"/>
            <color indexed="81"/>
            <rFont val="細明體"/>
            <family val="3"/>
            <charset val="136"/>
          </rPr>
          <t>拔牙</t>
        </r>
        <r>
          <rPr>
            <b/>
            <sz val="9"/>
            <color indexed="81"/>
            <rFont val="Tahoma"/>
            <family val="2"/>
          </rPr>
          <t xml:space="preserve">5
</t>
        </r>
      </text>
    </comment>
    <comment ref="O7" authorId="0" shapeId="0" xr:uid="{0AB1E8BF-AC1F-4420-8319-32C1AB0EFE37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b/>
            <sz val="9"/>
            <color indexed="81"/>
            <rFont val="細明體"/>
            <family val="3"/>
            <charset val="136"/>
          </rPr>
          <t>尿布乾</t>
        </r>
        <r>
          <rPr>
            <b/>
            <sz val="9"/>
            <color indexed="81"/>
            <rFont val="Tahoma"/>
            <family val="2"/>
          </rPr>
          <t xml:space="preserve">5
</t>
        </r>
      </text>
    </comment>
    <comment ref="Q7" authorId="0" shapeId="0" xr:uid="{220906A9-7449-4EFB-969D-B39B771EF94D}">
      <text>
        <r>
          <rPr>
            <b/>
            <sz val="9"/>
            <color indexed="81"/>
            <rFont val="Tahoma"/>
            <family val="2"/>
          </rPr>
          <t xml:space="preserve">arwen hung:
</t>
        </r>
        <r>
          <rPr>
            <b/>
            <sz val="9"/>
            <color indexed="81"/>
            <rFont val="細明體"/>
            <family val="3"/>
            <charset val="136"/>
          </rPr>
          <t>尿布乾</t>
        </r>
        <r>
          <rPr>
            <b/>
            <sz val="9"/>
            <color indexed="81"/>
            <rFont val="Tahoma"/>
            <family val="2"/>
          </rPr>
          <t xml:space="preserve">5
</t>
        </r>
        <r>
          <rPr>
            <b/>
            <sz val="9"/>
            <color indexed="81"/>
            <rFont val="細明體"/>
            <family val="3"/>
            <charset val="136"/>
          </rPr>
          <t>數學、自然</t>
        </r>
        <r>
          <rPr>
            <b/>
            <sz val="9"/>
            <color indexed="81"/>
            <rFont val="Tahoma"/>
            <family val="2"/>
          </rPr>
          <t>&gt;95</t>
        </r>
        <r>
          <rPr>
            <b/>
            <sz val="9"/>
            <color indexed="81"/>
            <rFont val="細明體"/>
            <family val="3"/>
            <charset val="136"/>
          </rPr>
          <t>分</t>
        </r>
        <r>
          <rPr>
            <b/>
            <sz val="9"/>
            <color indexed="81"/>
            <rFont val="Tahoma"/>
            <family val="2"/>
          </rPr>
          <t xml:space="preserve"> 10
</t>
        </r>
      </text>
    </comment>
    <comment ref="V7" authorId="0" shapeId="0" xr:uid="{8864AD84-A5E1-454D-9CCE-D2C4A1D21E45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細明體"/>
            <family val="3"/>
            <charset val="136"/>
          </rPr>
          <t>張獎狀</t>
        </r>
        <r>
          <rPr>
            <sz val="9"/>
            <color indexed="81"/>
            <rFont val="Tahoma"/>
            <family val="2"/>
          </rPr>
          <t xml:space="preserve">20
</t>
        </r>
        <r>
          <rPr>
            <sz val="9"/>
            <color indexed="81"/>
            <rFont val="細明體"/>
            <family val="3"/>
            <charset val="136"/>
          </rPr>
          <t>、拒絕糖果</t>
        </r>
        <r>
          <rPr>
            <sz val="9"/>
            <color indexed="81"/>
            <rFont val="Tahoma"/>
            <family val="2"/>
          </rPr>
          <t>3</t>
        </r>
      </text>
    </comment>
    <comment ref="X7" authorId="0" shapeId="0" xr:uid="{D8C61DBA-6C83-4EFD-B094-AD2311B2EBD5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尿布乾</t>
        </r>
        <r>
          <rPr>
            <sz val="9"/>
            <color indexed="81"/>
            <rFont val="Tahoma"/>
            <family val="2"/>
          </rPr>
          <t>5</t>
        </r>
      </text>
    </comment>
    <comment ref="AC7" authorId="0" shapeId="0" xr:uid="{76BB7FB6-BA63-4509-ACBB-089A889090BC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新北校園通</t>
        </r>
        <r>
          <rPr>
            <sz val="9"/>
            <color indexed="81"/>
            <rFont val="Tahoma"/>
            <family val="2"/>
          </rPr>
          <t>38</t>
        </r>
      </text>
    </comment>
    <comment ref="AF7" authorId="0" shapeId="0" xr:uid="{3AE9F474-F7FC-49A6-AE72-FF6484A4B45A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爭鮮少算誠實告知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hung</author>
  </authors>
  <commentList>
    <comment ref="M5" authorId="0" shapeId="0" xr:uid="{D3CD7ED6-BEF1-4CA4-ADD0-D19211A80B60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Dog man1</t>
        </r>
      </text>
    </comment>
    <comment ref="C7" authorId="0" shapeId="0" xr:uid="{53489D09-7A39-4131-9278-610BBC8423D2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形音義
</t>
        </r>
      </text>
    </comment>
    <comment ref="D7" authorId="0" shapeId="0" xr:uid="{CA0A3D53-A557-4ACD-99D4-275B1130BDB2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唸</t>
        </r>
        <r>
          <rPr>
            <sz val="9"/>
            <color indexed="81"/>
            <rFont val="Tahoma"/>
            <family val="2"/>
          </rPr>
          <t>2/3 ICRT</t>
        </r>
      </text>
    </comment>
    <comment ref="W7" authorId="0" shapeId="0" xr:uid="{77C65FFF-8460-4A93-ACBC-AEA29C2BE1D2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吞魚油</t>
        </r>
        <r>
          <rPr>
            <sz val="9"/>
            <color indexed="81"/>
            <rFont val="Tahoma"/>
            <family val="2"/>
          </rPr>
          <t xml:space="preserve">15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hung</author>
  </authors>
  <commentList>
    <comment ref="G5" authorId="0" shapeId="0" xr:uid="{4C3BB1A4-3BB5-484A-82D4-317B542994F7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dog man</t>
        </r>
        <r>
          <rPr>
            <sz val="9"/>
            <color indexed="81"/>
            <rFont val="細明體"/>
            <family val="3"/>
            <charset val="136"/>
          </rPr>
          <t>閱讀</t>
        </r>
      </text>
    </comment>
    <comment ref="H5" authorId="0" shapeId="0" xr:uid="{CBDC9B96-627C-446D-966E-A9D0BF2D9683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dog man</t>
        </r>
        <r>
          <rPr>
            <sz val="9"/>
            <color indexed="81"/>
            <rFont val="細明體"/>
            <family val="3"/>
            <charset val="136"/>
          </rPr>
          <t>閱讀</t>
        </r>
      </text>
    </comment>
    <comment ref="G7" authorId="0" shapeId="0" xr:uid="{44E7B06E-CB98-4EAA-81EA-4F9035FFC691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半夜起來尿尿</t>
        </r>
        <r>
          <rPr>
            <sz val="9"/>
            <color indexed="81"/>
            <rFont val="Tahoma"/>
            <family val="2"/>
          </rPr>
          <t xml:space="preserve">5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7" authorId="0" shapeId="0" xr:uid="{45631EA6-FC64-4599-B02F-963641C74397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半夜起來尿尿</t>
        </r>
        <r>
          <rPr>
            <sz val="9"/>
            <color indexed="81"/>
            <rFont val="Tahoma"/>
            <family val="2"/>
          </rPr>
          <t xml:space="preserve">5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I7" authorId="0" shapeId="0" xr:uid="{380CB95D-B52F-45C0-9847-E390A0DF76D4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四階魔方
</t>
        </r>
      </text>
    </comment>
    <comment ref="AA7" authorId="0" shapeId="0" xr:uid="{3FC4DE3F-9568-4A2E-80A2-D8C212B805E5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字音字形第三名</t>
        </r>
        <r>
          <rPr>
            <sz val="9"/>
            <color indexed="81"/>
            <rFont val="Tahoma"/>
            <family val="2"/>
          </rPr>
          <t xml:space="preserve">5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hung</author>
  </authors>
  <commentList>
    <comment ref="L7" authorId="0" shapeId="0" xr:uid="{740B07A1-C12E-4A10-993B-798568E47A86}">
      <text>
        <r>
          <rPr>
            <b/>
            <sz val="9"/>
            <color indexed="81"/>
            <rFont val="Tahoma"/>
            <family val="2"/>
          </rPr>
          <t>arwen hung: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細明體"/>
            <family val="3"/>
            <charset val="136"/>
          </rPr>
          <t>張獎狀</t>
        </r>
      </text>
    </comment>
  </commentList>
</comments>
</file>

<file path=xl/sharedStrings.xml><?xml version="1.0" encoding="utf-8"?>
<sst xmlns="http://schemas.openxmlformats.org/spreadsheetml/2006/main" count="62" uniqueCount="24">
  <si>
    <t>勾勾數</t>
    <phoneticPr fontId="1" type="noConversion"/>
  </si>
  <si>
    <t>指定中文1本</t>
    <phoneticPr fontId="1" type="noConversion"/>
  </si>
  <si>
    <t>英文朗讀1本</t>
    <phoneticPr fontId="1" type="noConversion"/>
  </si>
  <si>
    <t>英文咡2本</t>
    <phoneticPr fontId="1" type="noConversion"/>
  </si>
  <si>
    <t>8:30前完成所有事</t>
    <phoneticPr fontId="1" type="noConversion"/>
  </si>
  <si>
    <t>合計</t>
    <phoneticPr fontId="1" type="noConversion"/>
  </si>
  <si>
    <t>英文閱讀1本</t>
    <phoneticPr fontId="1" type="noConversion"/>
  </si>
  <si>
    <t>2025/11</t>
    <phoneticPr fontId="1" type="noConversion"/>
  </si>
  <si>
    <t>喝水500CC</t>
    <phoneticPr fontId="1" type="noConversion"/>
  </si>
  <si>
    <t>隨意中文1本</t>
    <phoneticPr fontId="1" type="noConversion"/>
  </si>
  <si>
    <r>
      <t>其他</t>
    </r>
    <r>
      <rPr>
        <b/>
        <vertAlign val="subscript"/>
        <sz val="12"/>
        <color theme="1"/>
        <rFont val="微軟正黑體"/>
        <family val="2"/>
        <charset val="136"/>
      </rPr>
      <t>假日早起看書、ICRT</t>
    </r>
    <phoneticPr fontId="1" type="noConversion"/>
  </si>
  <si>
    <t>2025/12</t>
    <phoneticPr fontId="1" type="noConversion"/>
  </si>
  <si>
    <t>早上ICRT</t>
    <phoneticPr fontId="1" type="noConversion"/>
  </si>
  <si>
    <t>all</t>
    <phoneticPr fontId="1" type="noConversion"/>
  </si>
  <si>
    <t>11/30已領</t>
    <phoneticPr fontId="1" type="noConversion"/>
  </si>
  <si>
    <t>1/2已轉帳</t>
    <phoneticPr fontId="1" type="noConversion"/>
  </si>
  <si>
    <t>2026/1</t>
    <phoneticPr fontId="1" type="noConversion"/>
  </si>
  <si>
    <t>2026/2</t>
    <phoneticPr fontId="1" type="noConversion"/>
  </si>
  <si>
    <t>早上ICRT/其他</t>
    <phoneticPr fontId="1" type="noConversion"/>
  </si>
  <si>
    <t>2/11已領現</t>
    <phoneticPr fontId="1" type="noConversion"/>
  </si>
  <si>
    <t>2026/3</t>
    <phoneticPr fontId="1" type="noConversion"/>
  </si>
  <si>
    <t>2026/4</t>
    <phoneticPr fontId="1" type="noConversion"/>
  </si>
  <si>
    <t>=-新竹夜市100</t>
    <phoneticPr fontId="1" type="noConversion"/>
  </si>
  <si>
    <t>4/6已領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</si>
</sst>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1" tint="4.9989318521683403E-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name val="微軟正黑體"/>
      <family val="2"/>
      <charset val="136"/>
    </font>
    <font>
      <b/>
      <vertAlign val="subscript"/>
      <sz val="12"/>
      <color theme="1"/>
      <name val="微軟正黑體"/>
      <family val="2"/>
      <charset val="136"/>
    </font>
    <font>
      <b/>
      <sz val="12"/>
      <color rgb="FF002060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Dashed">
        <color theme="4" tint="0.39994506668294322"/>
      </right>
      <top style="medium">
        <color indexed="64"/>
      </top>
      <bottom style="mediumDashed">
        <color theme="4" tint="0.39994506668294322"/>
      </bottom>
      <diagonal/>
    </border>
    <border>
      <left style="mediumDashed">
        <color theme="4" tint="0.39994506668294322"/>
      </left>
      <right style="mediumDashed">
        <color theme="4" tint="0.39994506668294322"/>
      </right>
      <top style="medium">
        <color indexed="64"/>
      </top>
      <bottom style="mediumDashed">
        <color theme="4" tint="0.39994506668294322"/>
      </bottom>
      <diagonal/>
    </border>
    <border>
      <left style="mediumDashed">
        <color theme="4" tint="0.39994506668294322"/>
      </left>
      <right/>
      <top style="medium">
        <color indexed="64"/>
      </top>
      <bottom style="mediumDashed">
        <color theme="4" tint="0.39994506668294322"/>
      </bottom>
      <diagonal/>
    </border>
    <border>
      <left/>
      <right style="mediumDashed">
        <color theme="4" tint="0.39994506668294322"/>
      </right>
      <top style="mediumDashed">
        <color theme="4" tint="0.39994506668294322"/>
      </top>
      <bottom style="mediumDashed">
        <color theme="4" tint="0.39994506668294322"/>
      </bottom>
      <diagonal/>
    </border>
    <border>
      <left style="mediumDashed">
        <color theme="4" tint="0.39994506668294322"/>
      </left>
      <right style="mediumDashed">
        <color theme="4" tint="0.39994506668294322"/>
      </right>
      <top style="mediumDashed">
        <color theme="4" tint="0.39994506668294322"/>
      </top>
      <bottom style="mediumDashed">
        <color theme="4" tint="0.39994506668294322"/>
      </bottom>
      <diagonal/>
    </border>
    <border>
      <left style="mediumDashed">
        <color theme="4" tint="0.39994506668294322"/>
      </left>
      <right/>
      <top style="mediumDashed">
        <color theme="4" tint="0.39994506668294322"/>
      </top>
      <bottom style="mediumDashed">
        <color theme="4" tint="0.3999450666829432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theme="8" tint="-0.24994659260841701"/>
      </top>
      <bottom style="thin">
        <color theme="2" tint="-9.9948118533890809E-2"/>
      </bottom>
      <diagonal/>
    </border>
    <border>
      <left style="thin">
        <color theme="2" tint="-9.9887081514938816E-2"/>
      </left>
      <right style="thin">
        <color theme="2" tint="-9.9887081514938816E-2"/>
      </right>
      <top/>
      <bottom style="medium">
        <color theme="8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theme="8" tint="-0.24994659260841701"/>
      </bottom>
      <diagonal/>
    </border>
    <border>
      <left/>
      <right style="thin">
        <color theme="2" tint="-9.9948118533890809E-2"/>
      </right>
      <top style="medium">
        <color theme="8" tint="-0.24994659260841701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medium">
        <color theme="8" tint="-0.24994659260841701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double">
        <color theme="8" tint="-0.2499465926084170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double">
        <color theme="8" tint="-0.24994659260841701"/>
      </bottom>
      <diagonal/>
    </border>
    <border>
      <left/>
      <right/>
      <top style="double">
        <color theme="8" tint="-0.24994659260841701"/>
      </top>
      <bottom style="medium">
        <color theme="8" tint="-0.24994659260841701"/>
      </bottom>
      <diagonal/>
    </border>
    <border>
      <left/>
      <right style="thin">
        <color theme="2" tint="-9.9887081514938816E-2"/>
      </right>
      <top style="double">
        <color theme="8" tint="-0.24994659260841701"/>
      </top>
      <bottom style="medium">
        <color theme="8" tint="-0.2499465926084170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49" fontId="3" fillId="4" borderId="2" xfId="0" applyNumberFormat="1" applyFont="1" applyFill="1" applyBorder="1">
      <alignment vertical="center"/>
    </xf>
    <xf numFmtId="0" fontId="3" fillId="12" borderId="2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3" fillId="13" borderId="2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6" borderId="2" xfId="0" applyFont="1" applyFill="1" applyBorder="1">
      <alignment vertical="center"/>
    </xf>
    <xf numFmtId="0" fontId="3" fillId="7" borderId="2" xfId="0" applyFont="1" applyFill="1" applyBorder="1">
      <alignment vertical="center"/>
    </xf>
    <xf numFmtId="0" fontId="3" fillId="8" borderId="2" xfId="0" applyFont="1" applyFill="1" applyBorder="1">
      <alignment vertical="center"/>
    </xf>
    <xf numFmtId="0" fontId="3" fillId="9" borderId="2" xfId="0" applyFont="1" applyFill="1" applyBorder="1">
      <alignment vertical="center"/>
    </xf>
    <xf numFmtId="0" fontId="3" fillId="10" borderId="2" xfId="0" applyFont="1" applyFill="1" applyBorder="1">
      <alignment vertical="center"/>
    </xf>
    <xf numFmtId="0" fontId="3" fillId="14" borderId="2" xfId="0" applyFont="1" applyFill="1" applyBorder="1">
      <alignment vertical="center"/>
    </xf>
    <xf numFmtId="0" fontId="3" fillId="11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5" fillId="16" borderId="5" xfId="0" applyFont="1" applyFill="1" applyBorder="1">
      <alignment vertical="center"/>
    </xf>
    <xf numFmtId="0" fontId="6" fillId="16" borderId="5" xfId="0" applyFont="1" applyFill="1" applyBorder="1">
      <alignment vertical="center"/>
    </xf>
    <xf numFmtId="0" fontId="5" fillId="16" borderId="6" xfId="0" applyFont="1" applyFill="1" applyBorder="1">
      <alignment vertical="center"/>
    </xf>
    <xf numFmtId="0" fontId="3" fillId="6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5" fillId="16" borderId="8" xfId="0" applyFont="1" applyFill="1" applyBorder="1">
      <alignment vertical="center"/>
    </xf>
    <xf numFmtId="0" fontId="5" fillId="16" borderId="9" xfId="0" applyFont="1" applyFill="1" applyBorder="1">
      <alignment vertical="center"/>
    </xf>
    <xf numFmtId="0" fontId="3" fillId="7" borderId="7" xfId="0" applyFont="1" applyFill="1" applyBorder="1">
      <alignment vertical="center"/>
    </xf>
    <xf numFmtId="0" fontId="5" fillId="16" borderId="8" xfId="0" applyFont="1" applyFill="1" applyBorder="1" applyAlignment="1">
      <alignment vertical="center" wrapText="1"/>
    </xf>
    <xf numFmtId="0" fontId="3" fillId="8" borderId="7" xfId="0" applyFont="1" applyFill="1" applyBorder="1">
      <alignment vertical="center"/>
    </xf>
    <xf numFmtId="0" fontId="3" fillId="9" borderId="7" xfId="0" applyFont="1" applyFill="1" applyBorder="1">
      <alignment vertical="center"/>
    </xf>
    <xf numFmtId="0" fontId="3" fillId="10" borderId="7" xfId="0" applyFont="1" applyFill="1" applyBorder="1">
      <alignment vertical="center"/>
    </xf>
    <xf numFmtId="0" fontId="3" fillId="11" borderId="7" xfId="0" applyFont="1" applyFill="1" applyBorder="1">
      <alignment vertical="center"/>
    </xf>
    <xf numFmtId="0" fontId="7" fillId="16" borderId="8" xfId="0" applyFont="1" applyFill="1" applyBorder="1">
      <alignment vertical="center"/>
    </xf>
    <xf numFmtId="0" fontId="3" fillId="15" borderId="7" xfId="0" applyFont="1" applyFill="1" applyBorder="1">
      <alignment vertical="center"/>
    </xf>
    <xf numFmtId="0" fontId="2" fillId="0" borderId="10" xfId="0" applyFont="1" applyBorder="1">
      <alignment vertical="center"/>
    </xf>
    <xf numFmtId="0" fontId="9" fillId="17" borderId="10" xfId="0" applyFont="1" applyFill="1" applyBorder="1">
      <alignment vertical="center"/>
    </xf>
    <xf numFmtId="49" fontId="9" fillId="17" borderId="11" xfId="0" applyNumberFormat="1" applyFont="1" applyFill="1" applyBorder="1">
      <alignment vertical="center"/>
    </xf>
    <xf numFmtId="0" fontId="9" fillId="17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9" fillId="17" borderId="13" xfId="0" applyFont="1" applyFill="1" applyBorder="1">
      <alignment vertical="center"/>
    </xf>
    <xf numFmtId="0" fontId="2" fillId="0" borderId="13" xfId="0" applyFont="1" applyBorder="1">
      <alignment vertical="center"/>
    </xf>
    <xf numFmtId="49" fontId="9" fillId="17" borderId="14" xfId="0" applyNumberFormat="1" applyFont="1" applyFill="1" applyBorder="1">
      <alignment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16" xfId="0" applyFont="1" applyFill="1" applyBorder="1">
      <alignment vertical="center"/>
    </xf>
    <xf numFmtId="0" fontId="2" fillId="0" borderId="17" xfId="0" applyFont="1" applyBorder="1">
      <alignment vertical="center"/>
    </xf>
    <xf numFmtId="0" fontId="9" fillId="17" borderId="18" xfId="0" applyFont="1" applyFill="1" applyBorder="1">
      <alignment vertical="center"/>
    </xf>
    <xf numFmtId="0" fontId="2" fillId="0" borderId="19" xfId="0" applyFont="1" applyBorder="1">
      <alignment vertical="center"/>
    </xf>
    <xf numFmtId="0" fontId="2" fillId="16" borderId="10" xfId="0" applyFont="1" applyFill="1" applyBorder="1">
      <alignment vertical="center"/>
    </xf>
    <xf numFmtId="0" fontId="2" fillId="16" borderId="13" xfId="0" applyFont="1" applyFill="1" applyBorder="1">
      <alignment vertical="center"/>
    </xf>
    <xf numFmtId="0" fontId="2" fillId="16" borderId="12" xfId="0" applyFont="1" applyFill="1" applyBorder="1">
      <alignment vertical="center"/>
    </xf>
    <xf numFmtId="0" fontId="9" fillId="17" borderId="20" xfId="0" applyFont="1" applyFill="1" applyBorder="1" applyAlignment="1">
      <alignment horizontal="center" vertical="center"/>
    </xf>
    <xf numFmtId="0" fontId="9" fillId="17" borderId="2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12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650E-B2B7-4C48-99B0-14C812590DF0}">
  <dimension ref="A1:W15"/>
  <sheetViews>
    <sheetView showGridLines="0" zoomScale="160" zoomScaleNormal="1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9" sqref="I9"/>
    </sheetView>
  </sheetViews>
  <sheetFormatPr defaultRowHeight="15.45" x14ac:dyDescent="0.45"/>
  <cols>
    <col min="1" max="1" width="18.84375" style="1" bestFit="1" customWidth="1"/>
    <col min="2" max="2" width="7.69140625" style="1" bestFit="1" customWidth="1"/>
    <col min="3" max="3" width="3.69140625" style="1" bestFit="1" customWidth="1"/>
    <col min="4" max="4" width="4" style="1" bestFit="1" customWidth="1"/>
    <col min="5" max="6" width="3.69140625" style="1" bestFit="1" customWidth="1"/>
    <col min="7" max="7" width="4" style="1" bestFit="1" customWidth="1"/>
    <col min="8" max="10" width="3.69140625" style="1" bestFit="1" customWidth="1"/>
    <col min="11" max="13" width="4" style="1" bestFit="1" customWidth="1"/>
    <col min="14" max="18" width="3.69140625" style="1" bestFit="1" customWidth="1"/>
    <col min="19" max="20" width="4" style="1" bestFit="1" customWidth="1"/>
    <col min="21" max="22" width="3.69140625" style="1" bestFit="1" customWidth="1"/>
    <col min="23" max="23" width="4.921875" style="1" bestFit="1" customWidth="1"/>
    <col min="24" max="16384" width="9.23046875" style="1"/>
  </cols>
  <sheetData>
    <row r="1" spans="1:23" ht="16.3" thickBot="1" x14ac:dyDescent="0.5">
      <c r="A1" s="3" t="s">
        <v>7</v>
      </c>
      <c r="B1" s="4" t="s">
        <v>0</v>
      </c>
      <c r="C1" s="5">
        <v>11</v>
      </c>
      <c r="D1" s="6">
        <v>12</v>
      </c>
      <c r="E1" s="7">
        <v>13</v>
      </c>
      <c r="F1" s="7">
        <v>14</v>
      </c>
      <c r="G1" s="8">
        <v>15</v>
      </c>
      <c r="H1" s="8">
        <v>16</v>
      </c>
      <c r="I1" s="9">
        <v>17</v>
      </c>
      <c r="J1" s="9">
        <v>18</v>
      </c>
      <c r="K1" s="10">
        <v>19</v>
      </c>
      <c r="L1" s="10">
        <v>20</v>
      </c>
      <c r="M1" s="11">
        <v>21</v>
      </c>
      <c r="N1" s="11">
        <v>22</v>
      </c>
      <c r="O1" s="12">
        <v>23</v>
      </c>
      <c r="P1" s="12">
        <v>24</v>
      </c>
      <c r="Q1" s="13">
        <v>25</v>
      </c>
      <c r="R1" s="13">
        <v>26</v>
      </c>
      <c r="S1" s="14">
        <v>27</v>
      </c>
      <c r="T1" s="14">
        <v>28</v>
      </c>
      <c r="U1" s="15">
        <v>29</v>
      </c>
      <c r="V1" s="15">
        <v>30</v>
      </c>
    </row>
    <row r="2" spans="1:23" ht="16.3" thickBot="1" x14ac:dyDescent="0.5">
      <c r="A2" s="17" t="s">
        <v>1</v>
      </c>
      <c r="B2" s="18">
        <v>5</v>
      </c>
      <c r="C2" s="19"/>
      <c r="D2" s="20"/>
      <c r="E2" s="19">
        <v>1</v>
      </c>
      <c r="F2" s="19"/>
      <c r="G2" s="19"/>
      <c r="H2" s="19"/>
      <c r="I2" s="19">
        <v>1</v>
      </c>
      <c r="J2" s="19"/>
      <c r="K2" s="19"/>
      <c r="L2" s="19">
        <v>1</v>
      </c>
      <c r="M2" s="19"/>
      <c r="N2" s="19">
        <v>1</v>
      </c>
      <c r="O2" s="19">
        <v>1</v>
      </c>
      <c r="P2" s="19"/>
      <c r="Q2" s="19">
        <v>1</v>
      </c>
      <c r="R2" s="19">
        <v>1</v>
      </c>
      <c r="S2" s="19"/>
      <c r="T2" s="19">
        <v>1</v>
      </c>
      <c r="U2" s="19">
        <v>1</v>
      </c>
      <c r="V2" s="21">
        <v>2</v>
      </c>
    </row>
    <row r="3" spans="1:23" ht="16.3" thickBot="1" x14ac:dyDescent="0.5">
      <c r="A3" s="22" t="s">
        <v>9</v>
      </c>
      <c r="B3" s="23">
        <v>3</v>
      </c>
      <c r="C3" s="24">
        <v>1</v>
      </c>
      <c r="D3" s="24">
        <v>1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</row>
    <row r="4" spans="1:23" ht="16.3" thickBot="1" x14ac:dyDescent="0.5">
      <c r="A4" s="26" t="s">
        <v>2</v>
      </c>
      <c r="B4" s="23">
        <v>5</v>
      </c>
      <c r="C4" s="24">
        <v>2</v>
      </c>
      <c r="D4" s="27"/>
      <c r="E4" s="24">
        <v>2</v>
      </c>
      <c r="F4" s="24"/>
      <c r="G4" s="24">
        <v>1</v>
      </c>
      <c r="H4" s="24">
        <v>2</v>
      </c>
      <c r="I4" s="24">
        <v>1</v>
      </c>
      <c r="J4" s="24">
        <v>1</v>
      </c>
      <c r="K4" s="24"/>
      <c r="L4" s="24">
        <v>2</v>
      </c>
      <c r="M4" s="24"/>
      <c r="N4" s="24"/>
      <c r="O4" s="24">
        <v>1</v>
      </c>
      <c r="P4" s="24">
        <v>2</v>
      </c>
      <c r="Q4" s="24">
        <v>2</v>
      </c>
      <c r="R4" s="24">
        <v>2</v>
      </c>
      <c r="S4" s="24">
        <v>2</v>
      </c>
      <c r="T4" s="24"/>
      <c r="U4" s="24">
        <v>1</v>
      </c>
      <c r="V4" s="25">
        <v>1</v>
      </c>
    </row>
    <row r="5" spans="1:23" ht="16.3" thickBot="1" x14ac:dyDescent="0.5">
      <c r="A5" s="28" t="s">
        <v>3</v>
      </c>
      <c r="B5" s="23">
        <v>1</v>
      </c>
      <c r="C5" s="24"/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2</v>
      </c>
      <c r="L5" s="24"/>
      <c r="M5" s="24">
        <v>1</v>
      </c>
      <c r="N5" s="24"/>
      <c r="O5" s="24"/>
      <c r="P5" s="24"/>
      <c r="Q5" s="24"/>
      <c r="R5" s="24"/>
      <c r="S5" s="24"/>
      <c r="T5" s="24"/>
      <c r="U5" s="24"/>
      <c r="V5" s="25"/>
    </row>
    <row r="6" spans="1:23" ht="16.3" thickBot="1" x14ac:dyDescent="0.5">
      <c r="A6" s="29" t="s">
        <v>6</v>
      </c>
      <c r="B6" s="23">
        <v>1</v>
      </c>
      <c r="C6" s="24"/>
      <c r="D6" s="24">
        <v>1</v>
      </c>
      <c r="E6" s="24"/>
      <c r="F6" s="24">
        <v>2</v>
      </c>
      <c r="G6" s="24">
        <v>1</v>
      </c>
      <c r="H6" s="24"/>
      <c r="I6" s="24"/>
      <c r="J6" s="24">
        <v>1</v>
      </c>
      <c r="K6" s="24"/>
      <c r="L6" s="24"/>
      <c r="M6" s="24">
        <v>3</v>
      </c>
      <c r="N6" s="24">
        <v>2</v>
      </c>
      <c r="O6" s="24">
        <v>1</v>
      </c>
      <c r="P6" s="24"/>
      <c r="Q6" s="24"/>
      <c r="R6" s="24"/>
      <c r="S6" s="24"/>
      <c r="T6" s="24">
        <v>2</v>
      </c>
      <c r="U6" s="24"/>
      <c r="V6" s="25"/>
    </row>
    <row r="7" spans="1:23" ht="16.3" thickBot="1" x14ac:dyDescent="0.5">
      <c r="A7" s="30" t="s">
        <v>4</v>
      </c>
      <c r="B7" s="23">
        <v>5</v>
      </c>
      <c r="C7" s="24">
        <v>1</v>
      </c>
      <c r="D7" s="24">
        <v>1</v>
      </c>
      <c r="E7" s="24">
        <v>1</v>
      </c>
      <c r="F7" s="24"/>
      <c r="G7" s="24"/>
      <c r="H7" s="24">
        <v>1</v>
      </c>
      <c r="I7" s="24"/>
      <c r="J7" s="24"/>
      <c r="K7" s="24">
        <v>1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5">
        <v>1</v>
      </c>
    </row>
    <row r="8" spans="1:23" ht="16.3" thickBot="1" x14ac:dyDescent="0.5">
      <c r="A8" s="31" t="s">
        <v>8</v>
      </c>
      <c r="B8" s="23">
        <v>1</v>
      </c>
      <c r="C8" s="24"/>
      <c r="D8" s="32">
        <v>1</v>
      </c>
      <c r="E8" s="24">
        <v>1</v>
      </c>
      <c r="F8" s="24"/>
      <c r="G8" s="24"/>
      <c r="H8" s="24">
        <v>1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>
        <v>1</v>
      </c>
      <c r="T8" s="24"/>
      <c r="U8" s="24">
        <v>1</v>
      </c>
      <c r="V8" s="25"/>
    </row>
    <row r="9" spans="1:23" ht="18" thickBot="1" x14ac:dyDescent="0.5">
      <c r="A9" s="33" t="s">
        <v>10</v>
      </c>
      <c r="B9" s="23">
        <v>1</v>
      </c>
      <c r="C9" s="24"/>
      <c r="D9" s="24"/>
      <c r="E9" s="24"/>
      <c r="F9" s="24"/>
      <c r="G9" s="24">
        <v>1</v>
      </c>
      <c r="H9" s="24">
        <v>7</v>
      </c>
      <c r="I9" s="24">
        <v>40</v>
      </c>
      <c r="J9" s="24">
        <v>1</v>
      </c>
      <c r="K9" s="24">
        <f>1+5</f>
        <v>6</v>
      </c>
      <c r="L9" s="24">
        <v>1</v>
      </c>
      <c r="M9" s="24">
        <v>1</v>
      </c>
      <c r="N9" s="24"/>
      <c r="O9" s="24">
        <v>2</v>
      </c>
      <c r="P9" s="24">
        <v>1</v>
      </c>
      <c r="Q9" s="24">
        <v>6</v>
      </c>
      <c r="R9" s="24"/>
      <c r="S9" s="24">
        <v>6</v>
      </c>
      <c r="T9" s="24">
        <v>6</v>
      </c>
      <c r="U9" s="24">
        <v>4</v>
      </c>
      <c r="V9" s="25"/>
    </row>
    <row r="10" spans="1:23" ht="17.600000000000001" customHeight="1" thickTop="1" thickBot="1" x14ac:dyDescent="0.5">
      <c r="A10" s="52" t="s">
        <v>5</v>
      </c>
      <c r="B10" s="52"/>
      <c r="C10" s="16">
        <f>SUM($B$2*C2+$B$3*C3+$B$4*C4+$B$5*C5+$B$7*C7+$B$6*C6+$B$8*C8+$B$9*C9)</f>
        <v>18</v>
      </c>
      <c r="D10" s="16">
        <f t="shared" ref="D10:V10" si="0">SUM($B$2*D2+$B$3*D3+$B$4*D4+$B$5*D5+$B$7*D7+$B$6*D6+$B$8*D8+$B$9*D9)</f>
        <v>11</v>
      </c>
      <c r="E10" s="16">
        <f t="shared" si="0"/>
        <v>22</v>
      </c>
      <c r="F10" s="16">
        <f t="shared" si="0"/>
        <v>3</v>
      </c>
      <c r="G10" s="16">
        <f t="shared" si="0"/>
        <v>8</v>
      </c>
      <c r="H10" s="16">
        <f t="shared" si="0"/>
        <v>24</v>
      </c>
      <c r="I10" s="16">
        <f t="shared" si="0"/>
        <v>51</v>
      </c>
      <c r="J10" s="16">
        <f t="shared" si="0"/>
        <v>8</v>
      </c>
      <c r="K10" s="16">
        <f t="shared" si="0"/>
        <v>13</v>
      </c>
      <c r="L10" s="16">
        <f t="shared" si="0"/>
        <v>16</v>
      </c>
      <c r="M10" s="16">
        <f t="shared" si="0"/>
        <v>5</v>
      </c>
      <c r="N10" s="16">
        <f t="shared" si="0"/>
        <v>7</v>
      </c>
      <c r="O10" s="16">
        <f t="shared" si="0"/>
        <v>13</v>
      </c>
      <c r="P10" s="16">
        <f t="shared" si="0"/>
        <v>11</v>
      </c>
      <c r="Q10" s="16">
        <f t="shared" si="0"/>
        <v>21</v>
      </c>
      <c r="R10" s="16">
        <f t="shared" si="0"/>
        <v>15</v>
      </c>
      <c r="S10" s="16">
        <f t="shared" si="0"/>
        <v>17</v>
      </c>
      <c r="T10" s="16">
        <f t="shared" si="0"/>
        <v>13</v>
      </c>
      <c r="U10" s="16">
        <f t="shared" si="0"/>
        <v>15</v>
      </c>
      <c r="V10" s="16">
        <f t="shared" si="0"/>
        <v>20</v>
      </c>
      <c r="W10" s="1">
        <f>SUM(C10:V10)</f>
        <v>311</v>
      </c>
    </row>
    <row r="11" spans="1:23" x14ac:dyDescent="0.45">
      <c r="I11" s="1">
        <v>1</v>
      </c>
      <c r="J11" s="1">
        <v>1</v>
      </c>
      <c r="K11" s="1">
        <v>1</v>
      </c>
      <c r="L11" s="1">
        <v>1</v>
      </c>
      <c r="W11" s="1" t="s">
        <v>14</v>
      </c>
    </row>
    <row r="15" spans="1:23" x14ac:dyDescent="0.45">
      <c r="B15" s="2"/>
    </row>
  </sheetData>
  <mergeCells count="1">
    <mergeCell ref="A10:B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42CA-46B2-4BCB-BACC-87F3119C5C96}">
  <dimension ref="A1:AH9"/>
  <sheetViews>
    <sheetView showGridLines="0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B15" sqref="AB15"/>
    </sheetView>
  </sheetViews>
  <sheetFormatPr defaultRowHeight="15.45" x14ac:dyDescent="0.45"/>
  <cols>
    <col min="1" max="1" width="13.23046875" style="1" bestFit="1" customWidth="1"/>
    <col min="2" max="2" width="7.69140625" style="1" bestFit="1" customWidth="1"/>
    <col min="3" max="33" width="4" style="1" customWidth="1"/>
    <col min="34" max="34" width="4.921875" style="1" bestFit="1" customWidth="1"/>
    <col min="35" max="16384" width="9.23046875" style="1"/>
  </cols>
  <sheetData>
    <row r="1" spans="1:34" ht="15.9" x14ac:dyDescent="0.45">
      <c r="A1" s="41" t="s">
        <v>11</v>
      </c>
      <c r="B1" s="36" t="s">
        <v>0</v>
      </c>
      <c r="C1" s="37">
        <v>1</v>
      </c>
      <c r="D1" s="37">
        <v>2</v>
      </c>
      <c r="E1" s="37">
        <v>3</v>
      </c>
      <c r="F1" s="37">
        <v>4</v>
      </c>
      <c r="G1" s="37">
        <v>5</v>
      </c>
      <c r="H1" s="37">
        <v>6</v>
      </c>
      <c r="I1" s="37">
        <v>7</v>
      </c>
      <c r="J1" s="37">
        <v>8</v>
      </c>
      <c r="K1" s="37">
        <v>9</v>
      </c>
      <c r="L1" s="37">
        <v>10</v>
      </c>
      <c r="M1" s="37">
        <v>11</v>
      </c>
      <c r="N1" s="37">
        <v>12</v>
      </c>
      <c r="O1" s="37">
        <v>13</v>
      </c>
      <c r="P1" s="37">
        <v>14</v>
      </c>
      <c r="Q1" s="37">
        <v>15</v>
      </c>
      <c r="R1" s="37">
        <v>16</v>
      </c>
      <c r="S1" s="37">
        <v>17</v>
      </c>
      <c r="T1" s="37">
        <v>18</v>
      </c>
      <c r="U1" s="37">
        <v>19</v>
      </c>
      <c r="V1" s="37">
        <v>20</v>
      </c>
      <c r="W1" s="37">
        <v>21</v>
      </c>
      <c r="X1" s="37">
        <v>22</v>
      </c>
      <c r="Y1" s="37">
        <v>23</v>
      </c>
      <c r="Z1" s="37">
        <v>24</v>
      </c>
      <c r="AA1" s="37">
        <v>25</v>
      </c>
      <c r="AB1" s="37">
        <v>26</v>
      </c>
      <c r="AC1" s="37">
        <v>27</v>
      </c>
      <c r="AD1" s="37">
        <v>28</v>
      </c>
      <c r="AE1" s="37">
        <v>29</v>
      </c>
      <c r="AF1" s="37">
        <v>30</v>
      </c>
      <c r="AG1" s="42">
        <v>31</v>
      </c>
    </row>
    <row r="2" spans="1:34" ht="15.9" x14ac:dyDescent="0.45">
      <c r="A2" s="43" t="s">
        <v>1</v>
      </c>
      <c r="B2" s="35">
        <v>5</v>
      </c>
      <c r="C2" s="34"/>
      <c r="D2" s="34"/>
      <c r="E2" s="34">
        <v>1</v>
      </c>
      <c r="F2" s="34"/>
      <c r="G2" s="34"/>
      <c r="H2" s="34">
        <v>1</v>
      </c>
      <c r="I2" s="34">
        <v>1</v>
      </c>
      <c r="J2" s="34"/>
      <c r="K2" s="34"/>
      <c r="L2" s="34"/>
      <c r="M2" s="34"/>
      <c r="N2" s="34"/>
      <c r="O2" s="34">
        <v>1</v>
      </c>
      <c r="P2" s="34"/>
      <c r="Q2" s="34"/>
      <c r="R2" s="34"/>
      <c r="S2" s="34"/>
      <c r="T2" s="34">
        <v>2</v>
      </c>
      <c r="U2" s="34"/>
      <c r="V2" s="34">
        <v>2</v>
      </c>
      <c r="W2" s="34">
        <v>1</v>
      </c>
      <c r="X2" s="34"/>
      <c r="Y2" s="34"/>
      <c r="Z2" s="34">
        <v>2</v>
      </c>
      <c r="AA2" s="34">
        <v>1</v>
      </c>
      <c r="AB2" s="34"/>
      <c r="AC2" s="34">
        <v>2</v>
      </c>
      <c r="AD2" s="34">
        <v>2</v>
      </c>
      <c r="AE2" s="34"/>
      <c r="AF2" s="34"/>
      <c r="AG2" s="44"/>
    </row>
    <row r="3" spans="1:34" ht="15.9" x14ac:dyDescent="0.45">
      <c r="A3" s="43" t="s">
        <v>9</v>
      </c>
      <c r="B3" s="35">
        <v>3</v>
      </c>
      <c r="C3" s="34"/>
      <c r="D3" s="34"/>
      <c r="E3" s="34"/>
      <c r="F3" s="34"/>
      <c r="G3" s="34"/>
      <c r="H3" s="34"/>
      <c r="I3" s="34"/>
      <c r="J3" s="34">
        <v>1</v>
      </c>
      <c r="K3" s="34">
        <v>1</v>
      </c>
      <c r="L3" s="34"/>
      <c r="M3" s="34">
        <v>1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44"/>
    </row>
    <row r="4" spans="1:34" ht="15.9" x14ac:dyDescent="0.45">
      <c r="A4" s="43" t="s">
        <v>2</v>
      </c>
      <c r="B4" s="35">
        <v>5</v>
      </c>
      <c r="C4" s="34">
        <v>1</v>
      </c>
      <c r="D4" s="34">
        <v>1</v>
      </c>
      <c r="E4" s="34">
        <v>1</v>
      </c>
      <c r="F4" s="34">
        <v>1</v>
      </c>
      <c r="G4" s="34"/>
      <c r="H4" s="34"/>
      <c r="I4" s="34">
        <v>1</v>
      </c>
      <c r="J4" s="34">
        <v>1</v>
      </c>
      <c r="K4" s="34"/>
      <c r="L4" s="34">
        <v>1</v>
      </c>
      <c r="M4" s="34"/>
      <c r="N4" s="34"/>
      <c r="O4" s="34"/>
      <c r="P4" s="34">
        <v>1</v>
      </c>
      <c r="Q4" s="34">
        <v>1</v>
      </c>
      <c r="R4" s="34"/>
      <c r="S4" s="34">
        <v>1</v>
      </c>
      <c r="T4" s="34">
        <v>2</v>
      </c>
      <c r="U4" s="34">
        <v>2</v>
      </c>
      <c r="V4" s="34">
        <v>1</v>
      </c>
      <c r="W4" s="34">
        <v>2</v>
      </c>
      <c r="X4" s="34">
        <v>2</v>
      </c>
      <c r="Y4" s="34"/>
      <c r="Z4" s="34"/>
      <c r="AA4" s="34">
        <v>2</v>
      </c>
      <c r="AB4" s="34">
        <v>1</v>
      </c>
      <c r="AC4" s="34">
        <v>2</v>
      </c>
      <c r="AD4" s="34">
        <v>2</v>
      </c>
      <c r="AE4" s="34">
        <v>3</v>
      </c>
      <c r="AF4" s="34"/>
      <c r="AG4" s="44"/>
    </row>
    <row r="5" spans="1:34" ht="15.9" x14ac:dyDescent="0.45">
      <c r="A5" s="43" t="s">
        <v>6</v>
      </c>
      <c r="B5" s="35">
        <v>1</v>
      </c>
      <c r="C5" s="34">
        <v>1</v>
      </c>
      <c r="D5" s="34"/>
      <c r="E5" s="34">
        <v>1</v>
      </c>
      <c r="F5" s="34">
        <v>2</v>
      </c>
      <c r="G5" s="34">
        <v>1</v>
      </c>
      <c r="H5" s="34"/>
      <c r="I5" s="34">
        <v>1</v>
      </c>
      <c r="J5" s="34">
        <v>2</v>
      </c>
      <c r="K5" s="34"/>
      <c r="L5" s="34">
        <v>1</v>
      </c>
      <c r="M5" s="34">
        <v>2</v>
      </c>
      <c r="N5" s="34">
        <v>1</v>
      </c>
      <c r="O5" s="34">
        <v>1</v>
      </c>
      <c r="P5" s="34"/>
      <c r="Q5" s="34"/>
      <c r="R5" s="34"/>
      <c r="S5" s="34">
        <v>1</v>
      </c>
      <c r="T5" s="34"/>
      <c r="U5" s="34"/>
      <c r="V5" s="34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>
        <v>3</v>
      </c>
      <c r="AG5" s="44"/>
    </row>
    <row r="6" spans="1:34" ht="15.9" x14ac:dyDescent="0.45">
      <c r="A6" s="43" t="s">
        <v>3</v>
      </c>
      <c r="B6" s="35">
        <v>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44"/>
    </row>
    <row r="7" spans="1:34" ht="16.3" thickBot="1" x14ac:dyDescent="0.5">
      <c r="A7" s="45" t="s">
        <v>12</v>
      </c>
      <c r="B7" s="39">
        <v>1</v>
      </c>
      <c r="C7" s="40">
        <v>7</v>
      </c>
      <c r="D7" s="40">
        <v>3</v>
      </c>
      <c r="E7" s="40">
        <v>2</v>
      </c>
      <c r="F7" s="40">
        <f>5+1+1</f>
        <v>7</v>
      </c>
      <c r="G7" s="40">
        <v>1</v>
      </c>
      <c r="H7" s="40"/>
      <c r="I7" s="40"/>
      <c r="J7" s="40">
        <v>1</v>
      </c>
      <c r="K7" s="40">
        <v>1</v>
      </c>
      <c r="L7" s="40">
        <v>3</v>
      </c>
      <c r="M7" s="40">
        <v>2</v>
      </c>
      <c r="N7" s="40">
        <v>3</v>
      </c>
      <c r="O7" s="40"/>
      <c r="P7" s="40"/>
      <c r="Q7" s="40">
        <v>15</v>
      </c>
      <c r="R7" s="40">
        <v>1</v>
      </c>
      <c r="S7" s="40">
        <v>1</v>
      </c>
      <c r="T7" s="40">
        <v>1</v>
      </c>
      <c r="U7" s="40">
        <v>1</v>
      </c>
      <c r="V7" s="40"/>
      <c r="W7" s="40">
        <v>30</v>
      </c>
      <c r="X7" s="40">
        <v>2</v>
      </c>
      <c r="Y7" s="40">
        <v>1</v>
      </c>
      <c r="Z7" s="40"/>
      <c r="AA7" s="40"/>
      <c r="AB7" s="40">
        <v>1</v>
      </c>
      <c r="AC7" s="40">
        <v>5</v>
      </c>
      <c r="AD7" s="40">
        <v>6</v>
      </c>
      <c r="AE7" s="40">
        <v>2</v>
      </c>
      <c r="AF7" s="40">
        <v>1</v>
      </c>
      <c r="AG7" s="46">
        <v>1</v>
      </c>
    </row>
    <row r="8" spans="1:34" ht="17.600000000000001" customHeight="1" thickTop="1" thickBot="1" x14ac:dyDescent="0.5">
      <c r="A8" s="50" t="s">
        <v>13</v>
      </c>
      <c r="B8" s="51"/>
      <c r="C8" s="38">
        <f>SUM($B$2*C2+$B$4*C4+$B$5*C5+$B$6*C6+$B$7*C7+$B$3*C3)</f>
        <v>13</v>
      </c>
      <c r="D8" s="38">
        <f t="shared" ref="D8:I8" si="0">SUM($B$2*D2+$B$4*D4+$B$5*D5+$B$6*D6+$B$7*D7+$B$3*D3)</f>
        <v>8</v>
      </c>
      <c r="E8" s="38">
        <f t="shared" si="0"/>
        <v>13</v>
      </c>
      <c r="F8" s="38">
        <f t="shared" si="0"/>
        <v>14</v>
      </c>
      <c r="G8" s="38">
        <f t="shared" si="0"/>
        <v>2</v>
      </c>
      <c r="H8" s="38">
        <f t="shared" si="0"/>
        <v>5</v>
      </c>
      <c r="I8" s="38">
        <f t="shared" si="0"/>
        <v>11</v>
      </c>
      <c r="J8" s="38">
        <f>SUM($B$2*J2+$B$4*J4+$B$5*J5+$B$6*J6+$B$7*J7+$B$3*J3)</f>
        <v>11</v>
      </c>
      <c r="K8" s="38">
        <f t="shared" ref="K8:AG8" si="1">SUM($B$2*K2+$B$4*K4+$B$5*K5+$B$6*K6+$B$7*K7+$B$3*K3)</f>
        <v>4</v>
      </c>
      <c r="L8" s="38">
        <f t="shared" si="1"/>
        <v>9</v>
      </c>
      <c r="M8" s="38">
        <f t="shared" si="1"/>
        <v>7</v>
      </c>
      <c r="N8" s="38">
        <f t="shared" si="1"/>
        <v>4</v>
      </c>
      <c r="O8" s="38">
        <f t="shared" si="1"/>
        <v>6</v>
      </c>
      <c r="P8" s="38">
        <f t="shared" si="1"/>
        <v>5</v>
      </c>
      <c r="Q8" s="38">
        <f t="shared" si="1"/>
        <v>20</v>
      </c>
      <c r="R8" s="38">
        <f t="shared" si="1"/>
        <v>1</v>
      </c>
      <c r="S8" s="38">
        <f t="shared" si="1"/>
        <v>7</v>
      </c>
      <c r="T8" s="38">
        <f t="shared" si="1"/>
        <v>21</v>
      </c>
      <c r="U8" s="38">
        <f t="shared" si="1"/>
        <v>11</v>
      </c>
      <c r="V8" s="38">
        <f t="shared" si="1"/>
        <v>16</v>
      </c>
      <c r="W8" s="38">
        <f t="shared" si="1"/>
        <v>45</v>
      </c>
      <c r="X8" s="38">
        <f t="shared" si="1"/>
        <v>12</v>
      </c>
      <c r="Y8" s="38">
        <f t="shared" si="1"/>
        <v>1</v>
      </c>
      <c r="Z8" s="38">
        <f t="shared" si="1"/>
        <v>10</v>
      </c>
      <c r="AA8" s="38">
        <f t="shared" si="1"/>
        <v>15</v>
      </c>
      <c r="AB8" s="38">
        <f t="shared" si="1"/>
        <v>6</v>
      </c>
      <c r="AC8" s="38">
        <f t="shared" si="1"/>
        <v>25</v>
      </c>
      <c r="AD8" s="38">
        <f t="shared" si="1"/>
        <v>26</v>
      </c>
      <c r="AE8" s="38">
        <f t="shared" si="1"/>
        <v>17</v>
      </c>
      <c r="AF8" s="38">
        <f t="shared" si="1"/>
        <v>4</v>
      </c>
      <c r="AG8" s="38">
        <f t="shared" si="1"/>
        <v>1</v>
      </c>
      <c r="AH8" s="1">
        <f>SUM(C8:AG8)</f>
        <v>350</v>
      </c>
    </row>
    <row r="9" spans="1:34" x14ac:dyDescent="0.45">
      <c r="AH9" s="1" t="s">
        <v>15</v>
      </c>
    </row>
  </sheetData>
  <mergeCells count="1">
    <mergeCell ref="A8:B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8B83-93B6-4083-8BA3-A4AD09DA8633}">
  <dimension ref="A1:AH9"/>
  <sheetViews>
    <sheetView showGridLines="0" zoomScale="130" zoomScaleNormal="13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H10" sqref="AH10"/>
    </sheetView>
  </sheetViews>
  <sheetFormatPr defaultRowHeight="15.45" x14ac:dyDescent="0.45"/>
  <cols>
    <col min="1" max="1" width="13.23046875" style="1" bestFit="1" customWidth="1"/>
    <col min="2" max="2" width="7.69140625" style="1" bestFit="1" customWidth="1"/>
    <col min="3" max="33" width="4" style="1" customWidth="1"/>
    <col min="34" max="34" width="4.921875" style="1" bestFit="1" customWidth="1"/>
    <col min="35" max="16384" width="9.23046875" style="1"/>
  </cols>
  <sheetData>
    <row r="1" spans="1:34" ht="15.9" x14ac:dyDescent="0.45">
      <c r="A1" s="41" t="s">
        <v>16</v>
      </c>
      <c r="B1" s="36" t="s">
        <v>0</v>
      </c>
      <c r="C1" s="37">
        <v>1</v>
      </c>
      <c r="D1" s="37">
        <v>2</v>
      </c>
      <c r="E1" s="37">
        <v>3</v>
      </c>
      <c r="F1" s="37">
        <v>4</v>
      </c>
      <c r="G1" s="37">
        <v>5</v>
      </c>
      <c r="H1" s="37">
        <v>6</v>
      </c>
      <c r="I1" s="37">
        <v>7</v>
      </c>
      <c r="J1" s="37">
        <v>8</v>
      </c>
      <c r="K1" s="37">
        <v>9</v>
      </c>
      <c r="L1" s="37">
        <v>10</v>
      </c>
      <c r="M1" s="37">
        <v>11</v>
      </c>
      <c r="N1" s="37">
        <v>12</v>
      </c>
      <c r="O1" s="37">
        <v>13</v>
      </c>
      <c r="P1" s="37">
        <v>14</v>
      </c>
      <c r="Q1" s="37">
        <v>15</v>
      </c>
      <c r="R1" s="37">
        <v>16</v>
      </c>
      <c r="S1" s="37">
        <v>17</v>
      </c>
      <c r="T1" s="37">
        <v>18</v>
      </c>
      <c r="U1" s="37">
        <v>19</v>
      </c>
      <c r="V1" s="37">
        <v>20</v>
      </c>
      <c r="W1" s="37">
        <v>21</v>
      </c>
      <c r="X1" s="37">
        <v>22</v>
      </c>
      <c r="Y1" s="37">
        <v>23</v>
      </c>
      <c r="Z1" s="37">
        <v>24</v>
      </c>
      <c r="AA1" s="37">
        <v>25</v>
      </c>
      <c r="AB1" s="37">
        <v>26</v>
      </c>
      <c r="AC1" s="37">
        <v>27</v>
      </c>
      <c r="AD1" s="37">
        <v>28</v>
      </c>
      <c r="AE1" s="37">
        <v>29</v>
      </c>
      <c r="AF1" s="37">
        <v>30</v>
      </c>
      <c r="AG1" s="42">
        <v>31</v>
      </c>
    </row>
    <row r="2" spans="1:34" ht="15.9" x14ac:dyDescent="0.45">
      <c r="A2" s="43" t="s">
        <v>1</v>
      </c>
      <c r="B2" s="35">
        <v>5</v>
      </c>
      <c r="C2" s="34">
        <v>1</v>
      </c>
      <c r="D2" s="34">
        <v>1</v>
      </c>
      <c r="E2" s="34"/>
      <c r="F2" s="34"/>
      <c r="G2" s="34"/>
      <c r="H2" s="34"/>
      <c r="I2" s="34"/>
      <c r="J2" s="34"/>
      <c r="K2" s="34"/>
      <c r="L2" s="34">
        <v>1</v>
      </c>
      <c r="M2" s="34">
        <v>1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>
        <v>1</v>
      </c>
      <c r="AC2" s="34"/>
      <c r="AD2" s="34"/>
      <c r="AE2" s="34"/>
      <c r="AF2" s="34"/>
      <c r="AG2" s="44"/>
    </row>
    <row r="3" spans="1:34" ht="15.9" x14ac:dyDescent="0.45">
      <c r="A3" s="43" t="s">
        <v>9</v>
      </c>
      <c r="B3" s="35">
        <v>3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>
        <v>1</v>
      </c>
      <c r="O3" s="34"/>
      <c r="P3" s="34"/>
      <c r="Q3" s="34"/>
      <c r="R3" s="34"/>
      <c r="S3" s="34"/>
      <c r="T3" s="34">
        <v>1</v>
      </c>
      <c r="U3" s="34"/>
      <c r="V3" s="34"/>
      <c r="W3" s="34">
        <v>1</v>
      </c>
      <c r="X3" s="34"/>
      <c r="Y3" s="34"/>
      <c r="Z3" s="34">
        <v>1</v>
      </c>
      <c r="AA3" s="34"/>
      <c r="AB3" s="34"/>
      <c r="AC3" s="34"/>
      <c r="AD3" s="34"/>
      <c r="AE3" s="34"/>
      <c r="AF3" s="34"/>
      <c r="AG3" s="44"/>
    </row>
    <row r="4" spans="1:34" ht="15.9" x14ac:dyDescent="0.45">
      <c r="A4" s="43" t="s">
        <v>2</v>
      </c>
      <c r="B4" s="35">
        <v>5</v>
      </c>
      <c r="C4" s="34">
        <v>2</v>
      </c>
      <c r="D4" s="34">
        <v>1</v>
      </c>
      <c r="E4" s="34">
        <v>3</v>
      </c>
      <c r="F4" s="34">
        <v>3</v>
      </c>
      <c r="G4" s="34">
        <v>1</v>
      </c>
      <c r="H4" s="34"/>
      <c r="I4" s="34">
        <v>1</v>
      </c>
      <c r="J4" s="34"/>
      <c r="K4" s="34"/>
      <c r="L4" s="34"/>
      <c r="M4" s="34">
        <v>1</v>
      </c>
      <c r="N4" s="34"/>
      <c r="O4" s="34"/>
      <c r="P4" s="34">
        <v>3</v>
      </c>
      <c r="Q4" s="34"/>
      <c r="R4" s="34"/>
      <c r="S4" s="34">
        <v>1</v>
      </c>
      <c r="T4" s="34">
        <v>1</v>
      </c>
      <c r="U4" s="34"/>
      <c r="V4" s="34"/>
      <c r="W4" s="34"/>
      <c r="X4" s="34"/>
      <c r="Y4" s="34"/>
      <c r="Z4" s="34">
        <v>1</v>
      </c>
      <c r="AA4" s="34">
        <v>2</v>
      </c>
      <c r="AB4" s="34">
        <v>1</v>
      </c>
      <c r="AC4" s="34">
        <v>2</v>
      </c>
      <c r="AD4" s="34"/>
      <c r="AE4" s="34"/>
      <c r="AF4" s="34"/>
      <c r="AG4" s="44"/>
    </row>
    <row r="5" spans="1:34" ht="15.9" x14ac:dyDescent="0.45">
      <c r="A5" s="43" t="s">
        <v>6</v>
      </c>
      <c r="B5" s="35">
        <v>1</v>
      </c>
      <c r="C5" s="34">
        <v>1</v>
      </c>
      <c r="D5" s="34"/>
      <c r="E5" s="34"/>
      <c r="F5" s="34"/>
      <c r="G5" s="34">
        <v>2</v>
      </c>
      <c r="H5" s="34">
        <v>3</v>
      </c>
      <c r="I5" s="34"/>
      <c r="J5" s="34"/>
      <c r="K5" s="34"/>
      <c r="L5" s="34">
        <v>3</v>
      </c>
      <c r="M5" s="34">
        <v>3</v>
      </c>
      <c r="N5" s="34"/>
      <c r="O5" s="34"/>
      <c r="P5" s="34"/>
      <c r="Q5" s="34"/>
      <c r="R5" s="34"/>
      <c r="S5" s="34"/>
      <c r="T5" s="34"/>
      <c r="U5" s="34">
        <v>4</v>
      </c>
      <c r="V5" s="34"/>
      <c r="W5" s="34">
        <v>2</v>
      </c>
      <c r="X5" s="34">
        <v>2</v>
      </c>
      <c r="Y5" s="34">
        <v>1</v>
      </c>
      <c r="Z5" s="34"/>
      <c r="AA5" s="34"/>
      <c r="AB5" s="34">
        <v>1</v>
      </c>
      <c r="AC5" s="34">
        <v>2</v>
      </c>
      <c r="AD5" s="34"/>
      <c r="AE5" s="34">
        <v>2</v>
      </c>
      <c r="AF5" s="34"/>
      <c r="AG5" s="44">
        <v>2</v>
      </c>
    </row>
    <row r="6" spans="1:34" ht="15.9" x14ac:dyDescent="0.45">
      <c r="A6" s="43" t="s">
        <v>3</v>
      </c>
      <c r="B6" s="35">
        <v>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44"/>
    </row>
    <row r="7" spans="1:34" ht="16.3" thickBot="1" x14ac:dyDescent="0.5">
      <c r="A7" s="45" t="s">
        <v>12</v>
      </c>
      <c r="B7" s="39">
        <v>1</v>
      </c>
      <c r="C7" s="40"/>
      <c r="D7" s="40">
        <v>5</v>
      </c>
      <c r="E7" s="40"/>
      <c r="F7" s="40"/>
      <c r="G7" s="40"/>
      <c r="H7" s="40">
        <v>1</v>
      </c>
      <c r="I7" s="40"/>
      <c r="J7" s="40"/>
      <c r="K7" s="40">
        <v>1</v>
      </c>
      <c r="L7" s="40"/>
      <c r="M7" s="40">
        <v>1</v>
      </c>
      <c r="N7" s="40">
        <v>1</v>
      </c>
      <c r="O7" s="40">
        <v>6</v>
      </c>
      <c r="P7" s="40">
        <v>1</v>
      </c>
      <c r="Q7" s="40">
        <v>16</v>
      </c>
      <c r="R7" s="40"/>
      <c r="S7" s="40"/>
      <c r="T7" s="40"/>
      <c r="U7" s="40">
        <v>1</v>
      </c>
      <c r="V7" s="40">
        <v>23</v>
      </c>
      <c r="W7" s="40">
        <v>1</v>
      </c>
      <c r="X7" s="40">
        <v>6</v>
      </c>
      <c r="Y7" s="40"/>
      <c r="Z7" s="40"/>
      <c r="AA7" s="40"/>
      <c r="AB7" s="40">
        <v>1</v>
      </c>
      <c r="AC7" s="40">
        <v>39</v>
      </c>
      <c r="AD7" s="40">
        <v>1</v>
      </c>
      <c r="AE7" s="40"/>
      <c r="AF7" s="40">
        <v>2</v>
      </c>
      <c r="AG7" s="46"/>
    </row>
    <row r="8" spans="1:34" ht="17.600000000000001" customHeight="1" thickTop="1" thickBot="1" x14ac:dyDescent="0.5">
      <c r="A8" s="50" t="s">
        <v>13</v>
      </c>
      <c r="B8" s="51"/>
      <c r="C8" s="38">
        <f>SUM($B$2*C2+$B$4*C4+$B$5*C5+$B$6*C6+$B$7*C7+$B$3*C3)</f>
        <v>16</v>
      </c>
      <c r="D8" s="38">
        <f t="shared" ref="D8:I8" si="0">SUM($B$2*D2+$B$4*D4+$B$5*D5+$B$6*D6+$B$7*D7+$B$3*D3)</f>
        <v>15</v>
      </c>
      <c r="E8" s="38">
        <f t="shared" si="0"/>
        <v>15</v>
      </c>
      <c r="F8" s="38">
        <f t="shared" si="0"/>
        <v>15</v>
      </c>
      <c r="G8" s="38">
        <f t="shared" si="0"/>
        <v>7</v>
      </c>
      <c r="H8" s="38">
        <f t="shared" si="0"/>
        <v>4</v>
      </c>
      <c r="I8" s="38">
        <f t="shared" si="0"/>
        <v>5</v>
      </c>
      <c r="J8" s="38">
        <f>SUM($B$2*J2+$B$4*J4+$B$5*J5+$B$6*J6+$B$7*J7+$B$3*J3)</f>
        <v>0</v>
      </c>
      <c r="K8" s="38">
        <f t="shared" ref="K8:AG8" si="1">SUM($B$2*K2+$B$4*K4+$B$5*K5+$B$6*K6+$B$7*K7+$B$3*K3)</f>
        <v>1</v>
      </c>
      <c r="L8" s="38">
        <f t="shared" si="1"/>
        <v>8</v>
      </c>
      <c r="M8" s="38">
        <f t="shared" si="1"/>
        <v>14</v>
      </c>
      <c r="N8" s="38">
        <f t="shared" si="1"/>
        <v>4</v>
      </c>
      <c r="O8" s="38">
        <f t="shared" si="1"/>
        <v>6</v>
      </c>
      <c r="P8" s="38">
        <f t="shared" si="1"/>
        <v>16</v>
      </c>
      <c r="Q8" s="38">
        <f t="shared" si="1"/>
        <v>16</v>
      </c>
      <c r="R8" s="38">
        <f t="shared" si="1"/>
        <v>0</v>
      </c>
      <c r="S8" s="38">
        <f t="shared" si="1"/>
        <v>5</v>
      </c>
      <c r="T8" s="38">
        <f t="shared" si="1"/>
        <v>8</v>
      </c>
      <c r="U8" s="38">
        <f t="shared" si="1"/>
        <v>5</v>
      </c>
      <c r="V8" s="38">
        <f t="shared" si="1"/>
        <v>23</v>
      </c>
      <c r="W8" s="38">
        <f t="shared" si="1"/>
        <v>6</v>
      </c>
      <c r="X8" s="38">
        <f t="shared" si="1"/>
        <v>8</v>
      </c>
      <c r="Y8" s="38">
        <f t="shared" si="1"/>
        <v>1</v>
      </c>
      <c r="Z8" s="38">
        <f t="shared" si="1"/>
        <v>8</v>
      </c>
      <c r="AA8" s="38">
        <f t="shared" si="1"/>
        <v>10</v>
      </c>
      <c r="AB8" s="38">
        <f t="shared" si="1"/>
        <v>12</v>
      </c>
      <c r="AC8" s="38">
        <f t="shared" si="1"/>
        <v>51</v>
      </c>
      <c r="AD8" s="38">
        <f t="shared" si="1"/>
        <v>1</v>
      </c>
      <c r="AE8" s="38">
        <f t="shared" si="1"/>
        <v>2</v>
      </c>
      <c r="AF8" s="38">
        <f t="shared" si="1"/>
        <v>2</v>
      </c>
      <c r="AG8" s="38">
        <f t="shared" si="1"/>
        <v>2</v>
      </c>
      <c r="AH8" s="1">
        <f>SUM(C8:AG8)</f>
        <v>286</v>
      </c>
    </row>
    <row r="9" spans="1:34" x14ac:dyDescent="0.45">
      <c r="AH9" s="1" t="s">
        <v>19</v>
      </c>
    </row>
  </sheetData>
  <mergeCells count="1">
    <mergeCell ref="A8:B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D148-04A1-484B-AFCB-5D1E768AF4CE}">
  <dimension ref="A1:AE10"/>
  <sheetViews>
    <sheetView showGridLines="0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E10" sqref="AE10"/>
    </sheetView>
  </sheetViews>
  <sheetFormatPr defaultRowHeight="15.45" x14ac:dyDescent="0.45"/>
  <cols>
    <col min="1" max="1" width="16.23046875" style="1" bestFit="1" customWidth="1"/>
    <col min="2" max="2" width="7.69140625" style="1" bestFit="1" customWidth="1"/>
    <col min="3" max="30" width="4" style="1" customWidth="1"/>
    <col min="31" max="31" width="10.15234375" style="1" bestFit="1" customWidth="1"/>
    <col min="32" max="16384" width="9.23046875" style="1"/>
  </cols>
  <sheetData>
    <row r="1" spans="1:31" ht="15.9" x14ac:dyDescent="0.45">
      <c r="A1" s="41" t="s">
        <v>17</v>
      </c>
      <c r="B1" s="36" t="s">
        <v>0</v>
      </c>
      <c r="C1" s="37">
        <v>1</v>
      </c>
      <c r="D1" s="37">
        <v>2</v>
      </c>
      <c r="E1" s="37">
        <v>3</v>
      </c>
      <c r="F1" s="37">
        <v>4</v>
      </c>
      <c r="G1" s="37">
        <v>5</v>
      </c>
      <c r="H1" s="37">
        <v>6</v>
      </c>
      <c r="I1" s="37">
        <v>7</v>
      </c>
      <c r="J1" s="37">
        <v>8</v>
      </c>
      <c r="K1" s="37">
        <v>9</v>
      </c>
      <c r="L1" s="37">
        <v>10</v>
      </c>
      <c r="M1" s="37">
        <v>11</v>
      </c>
      <c r="N1" s="37">
        <v>12</v>
      </c>
      <c r="O1" s="37">
        <v>13</v>
      </c>
      <c r="P1" s="37">
        <v>14</v>
      </c>
      <c r="Q1" s="37">
        <v>15</v>
      </c>
      <c r="R1" s="37">
        <v>16</v>
      </c>
      <c r="S1" s="37">
        <v>17</v>
      </c>
      <c r="T1" s="37">
        <v>18</v>
      </c>
      <c r="U1" s="37">
        <v>19</v>
      </c>
      <c r="V1" s="37">
        <v>20</v>
      </c>
      <c r="W1" s="37">
        <v>21</v>
      </c>
      <c r="X1" s="37">
        <v>22</v>
      </c>
      <c r="Y1" s="37">
        <v>23</v>
      </c>
      <c r="Z1" s="37">
        <v>24</v>
      </c>
      <c r="AA1" s="37">
        <v>25</v>
      </c>
      <c r="AB1" s="37">
        <v>26</v>
      </c>
      <c r="AC1" s="37">
        <v>27</v>
      </c>
      <c r="AD1" s="37">
        <v>28</v>
      </c>
    </row>
    <row r="2" spans="1:31" ht="15.9" x14ac:dyDescent="0.45">
      <c r="A2" s="43" t="s">
        <v>1</v>
      </c>
      <c r="B2" s="35">
        <v>5</v>
      </c>
      <c r="C2" s="34">
        <v>1</v>
      </c>
      <c r="D2" s="34"/>
      <c r="E2" s="34"/>
      <c r="F2" s="34"/>
      <c r="G2" s="34"/>
      <c r="H2" s="34"/>
      <c r="I2" s="34"/>
      <c r="J2" s="34"/>
      <c r="K2" s="34">
        <v>1</v>
      </c>
      <c r="L2" s="34"/>
      <c r="M2" s="34"/>
      <c r="N2" s="34"/>
      <c r="O2" s="34"/>
      <c r="P2" s="47"/>
      <c r="Q2" s="47"/>
      <c r="R2" s="47"/>
      <c r="S2" s="47"/>
      <c r="T2" s="47"/>
      <c r="U2" s="47"/>
      <c r="V2" s="47"/>
      <c r="W2" s="34">
        <v>1</v>
      </c>
      <c r="X2" s="34"/>
      <c r="Y2" s="34"/>
      <c r="Z2" s="34"/>
      <c r="AA2" s="34"/>
      <c r="AB2" s="34"/>
      <c r="AC2" s="34"/>
      <c r="AD2" s="34"/>
    </row>
    <row r="3" spans="1:31" ht="15.9" x14ac:dyDescent="0.45">
      <c r="A3" s="43" t="s">
        <v>9</v>
      </c>
      <c r="B3" s="35">
        <v>3</v>
      </c>
      <c r="C3" s="34"/>
      <c r="D3" s="34">
        <v>1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47"/>
      <c r="Q3" s="47"/>
      <c r="R3" s="47"/>
      <c r="S3" s="47"/>
      <c r="T3" s="47"/>
      <c r="U3" s="47"/>
      <c r="V3" s="47"/>
      <c r="W3" s="34"/>
      <c r="X3" s="34"/>
      <c r="Y3" s="34"/>
      <c r="Z3" s="34">
        <v>1</v>
      </c>
      <c r="AA3" s="34"/>
      <c r="AB3" s="34"/>
      <c r="AC3" s="34"/>
      <c r="AD3" s="34"/>
    </row>
    <row r="4" spans="1:31" ht="15.9" x14ac:dyDescent="0.45">
      <c r="A4" s="43" t="s">
        <v>2</v>
      </c>
      <c r="B4" s="35">
        <v>5</v>
      </c>
      <c r="C4" s="34"/>
      <c r="D4" s="34"/>
      <c r="E4" s="34"/>
      <c r="F4" s="34"/>
      <c r="G4" s="34"/>
      <c r="H4" s="34"/>
      <c r="I4" s="34"/>
      <c r="J4" s="34"/>
      <c r="K4" s="34"/>
      <c r="L4" s="34">
        <v>2</v>
      </c>
      <c r="M4" s="34"/>
      <c r="N4" s="34"/>
      <c r="O4" s="34"/>
      <c r="P4" s="47"/>
      <c r="Q4" s="47"/>
      <c r="R4" s="47"/>
      <c r="S4" s="47"/>
      <c r="T4" s="47"/>
      <c r="U4" s="47"/>
      <c r="V4" s="47"/>
      <c r="W4" s="34">
        <v>2</v>
      </c>
      <c r="X4" s="34">
        <v>1</v>
      </c>
      <c r="Y4" s="34"/>
      <c r="Z4" s="34"/>
      <c r="AA4" s="34"/>
      <c r="AB4" s="34"/>
      <c r="AC4" s="34"/>
      <c r="AD4" s="34"/>
    </row>
    <row r="5" spans="1:31" ht="15.9" x14ac:dyDescent="0.45">
      <c r="A5" s="43" t="s">
        <v>6</v>
      </c>
      <c r="B5" s="35">
        <v>1</v>
      </c>
      <c r="C5" s="34"/>
      <c r="D5" s="34"/>
      <c r="E5" s="34"/>
      <c r="F5" s="34"/>
      <c r="G5" s="34">
        <v>3</v>
      </c>
      <c r="H5" s="34"/>
      <c r="I5" s="34">
        <v>1</v>
      </c>
      <c r="J5" s="34">
        <v>1</v>
      </c>
      <c r="K5" s="34"/>
      <c r="L5" s="34"/>
      <c r="M5" s="34">
        <v>10</v>
      </c>
      <c r="N5" s="34"/>
      <c r="O5" s="34"/>
      <c r="P5" s="47"/>
      <c r="Q5" s="47"/>
      <c r="R5" s="47"/>
      <c r="S5" s="47"/>
      <c r="T5" s="47"/>
      <c r="U5" s="47"/>
      <c r="V5" s="47"/>
      <c r="W5" s="34">
        <v>1</v>
      </c>
      <c r="X5" s="34">
        <v>1</v>
      </c>
      <c r="Y5" s="34">
        <v>1</v>
      </c>
      <c r="Z5" s="34"/>
      <c r="AA5" s="34">
        <v>1</v>
      </c>
      <c r="AB5" s="34"/>
      <c r="AC5" s="34"/>
      <c r="AD5" s="34"/>
    </row>
    <row r="6" spans="1:31" ht="15.9" x14ac:dyDescent="0.45">
      <c r="A6" s="43" t="s">
        <v>3</v>
      </c>
      <c r="B6" s="35">
        <v>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47"/>
      <c r="Q6" s="47"/>
      <c r="R6" s="47"/>
      <c r="S6" s="47"/>
      <c r="T6" s="47"/>
      <c r="U6" s="47"/>
      <c r="V6" s="47"/>
      <c r="W6" s="34"/>
      <c r="X6" s="34"/>
      <c r="Y6" s="34"/>
      <c r="Z6" s="34"/>
      <c r="AA6" s="34"/>
      <c r="AB6" s="34"/>
      <c r="AC6" s="34"/>
      <c r="AD6" s="34"/>
    </row>
    <row r="7" spans="1:31" ht="16.3" thickBot="1" x14ac:dyDescent="0.5">
      <c r="A7" s="45" t="s">
        <v>18</v>
      </c>
      <c r="B7" s="39">
        <v>1</v>
      </c>
      <c r="C7" s="40">
        <v>1</v>
      </c>
      <c r="D7" s="40">
        <v>5</v>
      </c>
      <c r="E7" s="40"/>
      <c r="F7" s="40">
        <v>1</v>
      </c>
      <c r="G7" s="40">
        <v>6</v>
      </c>
      <c r="H7" s="40"/>
      <c r="I7" s="40"/>
      <c r="J7" s="40"/>
      <c r="K7" s="40">
        <v>1</v>
      </c>
      <c r="L7" s="40">
        <v>1</v>
      </c>
      <c r="M7" s="40">
        <v>1</v>
      </c>
      <c r="N7" s="40">
        <v>1</v>
      </c>
      <c r="O7" s="40">
        <v>2</v>
      </c>
      <c r="P7" s="48"/>
      <c r="Q7" s="48"/>
      <c r="R7" s="48"/>
      <c r="S7" s="48"/>
      <c r="T7" s="48"/>
      <c r="U7" s="48"/>
      <c r="V7" s="48"/>
      <c r="W7" s="40">
        <v>15</v>
      </c>
      <c r="X7" s="40">
        <v>2</v>
      </c>
      <c r="Y7" s="40">
        <v>1</v>
      </c>
      <c r="Z7" s="40">
        <v>1</v>
      </c>
      <c r="AA7" s="40">
        <v>1</v>
      </c>
      <c r="AB7" s="40"/>
      <c r="AC7" s="40"/>
      <c r="AD7" s="40"/>
    </row>
    <row r="8" spans="1:31" ht="17.600000000000001" customHeight="1" thickTop="1" thickBot="1" x14ac:dyDescent="0.5">
      <c r="A8" s="50" t="s">
        <v>13</v>
      </c>
      <c r="B8" s="51"/>
      <c r="C8" s="38">
        <f>SUM($B$2*C2+$B$4*C4+$B$5*C5+$B$6*C6+$B$7*C7+$B$3*C3)</f>
        <v>6</v>
      </c>
      <c r="D8" s="38">
        <f t="shared" ref="D8:I8" si="0">SUM($B$2*D2+$B$4*D4+$B$5*D5+$B$6*D6+$B$7*D7+$B$3*D3)</f>
        <v>8</v>
      </c>
      <c r="E8" s="38">
        <f t="shared" si="0"/>
        <v>0</v>
      </c>
      <c r="F8" s="38">
        <f t="shared" si="0"/>
        <v>1</v>
      </c>
      <c r="G8" s="38">
        <f t="shared" si="0"/>
        <v>9</v>
      </c>
      <c r="H8" s="38">
        <f t="shared" si="0"/>
        <v>0</v>
      </c>
      <c r="I8" s="38">
        <f t="shared" si="0"/>
        <v>1</v>
      </c>
      <c r="J8" s="38">
        <f>SUM($B$2*J2+$B$4*J4+$B$5*J5+$B$6*J6+$B$7*J7+$B$3*J3)</f>
        <v>1</v>
      </c>
      <c r="K8" s="38">
        <f t="shared" ref="K8:AD8" si="1">SUM($B$2*K2+$B$4*K4+$B$5*K5+$B$6*K6+$B$7*K7+$B$3*K3)</f>
        <v>6</v>
      </c>
      <c r="L8" s="38">
        <f t="shared" si="1"/>
        <v>11</v>
      </c>
      <c r="M8" s="38">
        <f t="shared" si="1"/>
        <v>11</v>
      </c>
      <c r="N8" s="38">
        <f t="shared" si="1"/>
        <v>1</v>
      </c>
      <c r="O8" s="38">
        <f t="shared" si="1"/>
        <v>2</v>
      </c>
      <c r="P8" s="49">
        <f t="shared" si="1"/>
        <v>0</v>
      </c>
      <c r="Q8" s="49">
        <f t="shared" si="1"/>
        <v>0</v>
      </c>
      <c r="R8" s="49">
        <f t="shared" si="1"/>
        <v>0</v>
      </c>
      <c r="S8" s="49">
        <f t="shared" si="1"/>
        <v>0</v>
      </c>
      <c r="T8" s="49">
        <f t="shared" si="1"/>
        <v>0</v>
      </c>
      <c r="U8" s="49">
        <f t="shared" si="1"/>
        <v>0</v>
      </c>
      <c r="V8" s="49">
        <f t="shared" si="1"/>
        <v>0</v>
      </c>
      <c r="W8" s="38">
        <f t="shared" si="1"/>
        <v>31</v>
      </c>
      <c r="X8" s="38">
        <f t="shared" si="1"/>
        <v>8</v>
      </c>
      <c r="Y8" s="38">
        <f t="shared" si="1"/>
        <v>2</v>
      </c>
      <c r="Z8" s="38">
        <f t="shared" si="1"/>
        <v>4</v>
      </c>
      <c r="AA8" s="38">
        <f t="shared" si="1"/>
        <v>2</v>
      </c>
      <c r="AB8" s="38">
        <f t="shared" si="1"/>
        <v>0</v>
      </c>
      <c r="AC8" s="38">
        <f t="shared" si="1"/>
        <v>0</v>
      </c>
      <c r="AD8" s="38">
        <f t="shared" si="1"/>
        <v>0</v>
      </c>
      <c r="AE8" s="1">
        <f>SUM(C8:AD8)</f>
        <v>104</v>
      </c>
    </row>
    <row r="9" spans="1:31" x14ac:dyDescent="0.45">
      <c r="AE9" s="53" t="s">
        <v>22</v>
      </c>
    </row>
    <row r="10" spans="1:31" x14ac:dyDescent="0.45">
      <c r="AE10" s="1" t="s">
        <v>23</v>
      </c>
    </row>
  </sheetData>
  <mergeCells count="1">
    <mergeCell ref="A8:B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518C-C981-4BC8-B086-C9A534BF3AAA}">
  <dimension ref="A1:AH9"/>
  <sheetViews>
    <sheetView showGridLines="0" zoomScale="130" zoomScaleNormal="130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J19" sqref="AJ19"/>
    </sheetView>
  </sheetViews>
  <sheetFormatPr defaultRowHeight="15.45" x14ac:dyDescent="0.45"/>
  <cols>
    <col min="1" max="1" width="16.23046875" style="1" bestFit="1" customWidth="1"/>
    <col min="2" max="2" width="7.69140625" style="1" bestFit="1" customWidth="1"/>
    <col min="3" max="33" width="4" style="1" customWidth="1"/>
    <col min="34" max="34" width="4.921875" style="1" bestFit="1" customWidth="1"/>
    <col min="35" max="16384" width="9.23046875" style="1"/>
  </cols>
  <sheetData>
    <row r="1" spans="1:34" ht="15.9" x14ac:dyDescent="0.45">
      <c r="A1" s="41" t="s">
        <v>20</v>
      </c>
      <c r="B1" s="36" t="s">
        <v>0</v>
      </c>
      <c r="C1" s="37">
        <v>1</v>
      </c>
      <c r="D1" s="37">
        <v>2</v>
      </c>
      <c r="E1" s="37">
        <v>3</v>
      </c>
      <c r="F1" s="37">
        <v>4</v>
      </c>
      <c r="G1" s="37">
        <v>5</v>
      </c>
      <c r="H1" s="37">
        <v>6</v>
      </c>
      <c r="I1" s="37">
        <v>7</v>
      </c>
      <c r="J1" s="37">
        <v>8</v>
      </c>
      <c r="K1" s="37">
        <v>9</v>
      </c>
      <c r="L1" s="37">
        <v>10</v>
      </c>
      <c r="M1" s="37">
        <v>11</v>
      </c>
      <c r="N1" s="37">
        <v>12</v>
      </c>
      <c r="O1" s="37">
        <v>13</v>
      </c>
      <c r="P1" s="37">
        <v>14</v>
      </c>
      <c r="Q1" s="37">
        <v>15</v>
      </c>
      <c r="R1" s="37">
        <v>16</v>
      </c>
      <c r="S1" s="37">
        <v>17</v>
      </c>
      <c r="T1" s="37">
        <v>18</v>
      </c>
      <c r="U1" s="37">
        <v>19</v>
      </c>
      <c r="V1" s="37">
        <v>20</v>
      </c>
      <c r="W1" s="37">
        <v>21</v>
      </c>
      <c r="X1" s="37">
        <v>22</v>
      </c>
      <c r="Y1" s="37">
        <v>23</v>
      </c>
      <c r="Z1" s="37">
        <v>24</v>
      </c>
      <c r="AA1" s="37">
        <v>25</v>
      </c>
      <c r="AB1" s="37">
        <v>26</v>
      </c>
      <c r="AC1" s="37">
        <v>27</v>
      </c>
      <c r="AD1" s="37">
        <v>28</v>
      </c>
      <c r="AE1" s="37">
        <v>29</v>
      </c>
      <c r="AF1" s="37">
        <v>30</v>
      </c>
      <c r="AG1" s="37">
        <v>31</v>
      </c>
    </row>
    <row r="2" spans="1:34" ht="15.9" x14ac:dyDescent="0.45">
      <c r="A2" s="43" t="s">
        <v>1</v>
      </c>
      <c r="B2" s="35">
        <v>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>
        <v>1</v>
      </c>
      <c r="Q2" s="34">
        <v>1</v>
      </c>
      <c r="R2" s="34"/>
      <c r="S2" s="34">
        <v>1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>
        <v>1</v>
      </c>
      <c r="AE2" s="34"/>
      <c r="AF2" s="34"/>
      <c r="AG2" s="34"/>
    </row>
    <row r="3" spans="1:34" ht="15.9" x14ac:dyDescent="0.45">
      <c r="A3" s="43" t="s">
        <v>9</v>
      </c>
      <c r="B3" s="35">
        <v>3</v>
      </c>
      <c r="C3" s="34"/>
      <c r="D3" s="34"/>
      <c r="E3" s="34"/>
      <c r="F3" s="34"/>
      <c r="G3" s="34">
        <v>1</v>
      </c>
      <c r="H3" s="34"/>
      <c r="I3" s="34"/>
      <c r="J3" s="34">
        <v>1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>
        <v>1</v>
      </c>
      <c r="V3" s="34"/>
      <c r="W3" s="34"/>
      <c r="X3" s="34">
        <v>1</v>
      </c>
      <c r="Y3" s="34"/>
      <c r="Z3" s="34"/>
      <c r="AA3" s="34">
        <v>1</v>
      </c>
      <c r="AB3" s="34"/>
      <c r="AC3" s="34"/>
      <c r="AD3" s="34">
        <v>1</v>
      </c>
      <c r="AE3" s="34"/>
      <c r="AF3" s="34"/>
      <c r="AG3" s="34">
        <v>5</v>
      </c>
    </row>
    <row r="4" spans="1:34" ht="15.9" x14ac:dyDescent="0.45">
      <c r="A4" s="43" t="s">
        <v>2</v>
      </c>
      <c r="B4" s="35">
        <v>5</v>
      </c>
      <c r="C4" s="34"/>
      <c r="D4" s="34"/>
      <c r="E4" s="34"/>
      <c r="F4" s="34"/>
      <c r="G4" s="34"/>
      <c r="H4" s="34"/>
      <c r="I4" s="34"/>
      <c r="J4" s="34">
        <v>1</v>
      </c>
      <c r="K4" s="34"/>
      <c r="L4" s="34"/>
      <c r="M4" s="34"/>
      <c r="N4" s="34">
        <v>2</v>
      </c>
      <c r="O4" s="34"/>
      <c r="P4" s="34">
        <v>1</v>
      </c>
      <c r="Q4" s="34">
        <v>1</v>
      </c>
      <c r="R4" s="34"/>
      <c r="S4" s="34">
        <v>1</v>
      </c>
      <c r="T4" s="34">
        <v>1</v>
      </c>
      <c r="U4" s="34"/>
      <c r="V4" s="34">
        <v>1</v>
      </c>
      <c r="W4" s="34">
        <v>2</v>
      </c>
      <c r="X4" s="34"/>
      <c r="Y4" s="34">
        <v>1</v>
      </c>
      <c r="Z4" s="34"/>
      <c r="AA4" s="34"/>
      <c r="AB4" s="34">
        <v>1</v>
      </c>
      <c r="AC4" s="34">
        <v>1</v>
      </c>
      <c r="AD4" s="34"/>
      <c r="AE4" s="34">
        <v>1</v>
      </c>
      <c r="AF4" s="34">
        <v>1</v>
      </c>
      <c r="AG4" s="34">
        <v>1</v>
      </c>
    </row>
    <row r="5" spans="1:34" ht="15.9" x14ac:dyDescent="0.45">
      <c r="A5" s="43" t="s">
        <v>6</v>
      </c>
      <c r="B5" s="35">
        <v>1</v>
      </c>
      <c r="C5" s="34"/>
      <c r="D5" s="34"/>
      <c r="E5" s="34"/>
      <c r="F5" s="34"/>
      <c r="G5" s="34">
        <v>7</v>
      </c>
      <c r="H5" s="34">
        <v>7</v>
      </c>
      <c r="I5" s="34"/>
      <c r="J5" s="34"/>
      <c r="K5" s="34"/>
      <c r="L5" s="34"/>
      <c r="M5" s="34"/>
      <c r="N5" s="34"/>
      <c r="O5" s="34">
        <v>1</v>
      </c>
      <c r="P5" s="34"/>
      <c r="Q5" s="34"/>
      <c r="R5" s="34"/>
      <c r="S5" s="34">
        <v>1</v>
      </c>
      <c r="T5" s="34">
        <v>1</v>
      </c>
      <c r="U5" s="34"/>
      <c r="V5" s="34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</row>
    <row r="6" spans="1:34" ht="15.9" x14ac:dyDescent="0.45">
      <c r="A6" s="43" t="s">
        <v>3</v>
      </c>
      <c r="B6" s="35">
        <v>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</row>
    <row r="7" spans="1:34" ht="16.3" thickBot="1" x14ac:dyDescent="0.5">
      <c r="A7" s="45" t="s">
        <v>18</v>
      </c>
      <c r="B7" s="39">
        <v>1</v>
      </c>
      <c r="C7" s="40"/>
      <c r="D7" s="40"/>
      <c r="E7" s="40">
        <v>1</v>
      </c>
      <c r="F7" s="40">
        <v>1</v>
      </c>
      <c r="G7" s="40">
        <v>6</v>
      </c>
      <c r="H7" s="40">
        <v>6</v>
      </c>
      <c r="I7" s="40">
        <v>5</v>
      </c>
      <c r="J7" s="40">
        <v>1</v>
      </c>
      <c r="K7" s="40">
        <v>1</v>
      </c>
      <c r="L7" s="40"/>
      <c r="M7" s="40"/>
      <c r="N7" s="40"/>
      <c r="O7" s="40">
        <v>1</v>
      </c>
      <c r="P7" s="40"/>
      <c r="Q7" s="40"/>
      <c r="R7" s="40">
        <v>1</v>
      </c>
      <c r="S7" s="40"/>
      <c r="T7" s="40">
        <v>1</v>
      </c>
      <c r="U7" s="40">
        <v>1</v>
      </c>
      <c r="V7" s="40">
        <v>1</v>
      </c>
      <c r="W7" s="40"/>
      <c r="X7" s="40"/>
      <c r="Y7" s="40">
        <v>1</v>
      </c>
      <c r="Z7" s="40">
        <v>1</v>
      </c>
      <c r="AA7" s="40">
        <v>6</v>
      </c>
      <c r="AB7" s="40">
        <v>1</v>
      </c>
      <c r="AC7" s="40">
        <v>1</v>
      </c>
      <c r="AD7" s="40"/>
      <c r="AE7" s="40"/>
      <c r="AF7" s="40">
        <v>1</v>
      </c>
      <c r="AG7" s="40">
        <v>1</v>
      </c>
    </row>
    <row r="8" spans="1:34" ht="17.600000000000001" customHeight="1" thickTop="1" thickBot="1" x14ac:dyDescent="0.5">
      <c r="A8" s="50" t="s">
        <v>13</v>
      </c>
      <c r="B8" s="51"/>
      <c r="C8" s="38">
        <f>SUM($B$2*C2+$B$4*C4+$B$5*C5+$B$6*C6+$B$7*C7+$B$3*C3)</f>
        <v>0</v>
      </c>
      <c r="D8" s="38">
        <f t="shared" ref="D8:I8" si="0">SUM($B$2*D2+$B$4*D4+$B$5*D5+$B$6*D6+$B$7*D7+$B$3*D3)</f>
        <v>0</v>
      </c>
      <c r="E8" s="38">
        <f t="shared" si="0"/>
        <v>1</v>
      </c>
      <c r="F8" s="38">
        <f t="shared" si="0"/>
        <v>1</v>
      </c>
      <c r="G8" s="38">
        <f t="shared" si="0"/>
        <v>16</v>
      </c>
      <c r="H8" s="38">
        <f t="shared" si="0"/>
        <v>13</v>
      </c>
      <c r="I8" s="38">
        <f t="shared" si="0"/>
        <v>5</v>
      </c>
      <c r="J8" s="38">
        <f>SUM($B$2*J2+$B$4*J4+$B$5*J5+$B$6*J6+$B$7*J7+$B$3*J3)</f>
        <v>9</v>
      </c>
      <c r="K8" s="38">
        <f t="shared" ref="K8:AD8" si="1">SUM($B$2*K2+$B$4*K4+$B$5*K5+$B$6*K6+$B$7*K7+$B$3*K3)</f>
        <v>1</v>
      </c>
      <c r="L8" s="38">
        <f t="shared" si="1"/>
        <v>0</v>
      </c>
      <c r="M8" s="38">
        <f t="shared" si="1"/>
        <v>0</v>
      </c>
      <c r="N8" s="38">
        <f t="shared" si="1"/>
        <v>10</v>
      </c>
      <c r="O8" s="38">
        <f t="shared" si="1"/>
        <v>2</v>
      </c>
      <c r="P8" s="49">
        <f t="shared" si="1"/>
        <v>10</v>
      </c>
      <c r="Q8" s="49">
        <f t="shared" si="1"/>
        <v>10</v>
      </c>
      <c r="R8" s="49">
        <f t="shared" si="1"/>
        <v>1</v>
      </c>
      <c r="S8" s="49">
        <f t="shared" si="1"/>
        <v>11</v>
      </c>
      <c r="T8" s="49">
        <f t="shared" si="1"/>
        <v>7</v>
      </c>
      <c r="U8" s="49">
        <f t="shared" si="1"/>
        <v>4</v>
      </c>
      <c r="V8" s="49">
        <f t="shared" si="1"/>
        <v>7</v>
      </c>
      <c r="W8" s="38">
        <f t="shared" si="1"/>
        <v>10</v>
      </c>
      <c r="X8" s="38">
        <f t="shared" si="1"/>
        <v>3</v>
      </c>
      <c r="Y8" s="38">
        <f t="shared" si="1"/>
        <v>6</v>
      </c>
      <c r="Z8" s="38">
        <f t="shared" si="1"/>
        <v>1</v>
      </c>
      <c r="AA8" s="38">
        <f t="shared" si="1"/>
        <v>9</v>
      </c>
      <c r="AB8" s="38">
        <f t="shared" si="1"/>
        <v>6</v>
      </c>
      <c r="AC8" s="38">
        <f t="shared" si="1"/>
        <v>6</v>
      </c>
      <c r="AD8" s="38">
        <f t="shared" si="1"/>
        <v>8</v>
      </c>
      <c r="AE8" s="38">
        <f t="shared" ref="AE8:AG8" si="2">SUM($B$2*AE2+$B$4*AE4+$B$5*AE5+$B$6*AE6+$B$7*AE7+$B$3*AE3)</f>
        <v>5</v>
      </c>
      <c r="AF8" s="38">
        <f t="shared" si="2"/>
        <v>6</v>
      </c>
      <c r="AG8" s="38">
        <f t="shared" si="2"/>
        <v>21</v>
      </c>
      <c r="AH8" s="1">
        <f>SUM(C8:AG8)</f>
        <v>189</v>
      </c>
    </row>
    <row r="9" spans="1:34" x14ac:dyDescent="0.45">
      <c r="AH9" s="1" t="s">
        <v>23</v>
      </c>
    </row>
  </sheetData>
  <mergeCells count="1">
    <mergeCell ref="A8:B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8A73-EFC1-41F1-88FC-CB0960C80C0B}">
  <dimension ref="A1:AH8"/>
  <sheetViews>
    <sheetView showGridLines="0"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8" sqref="S8"/>
    </sheetView>
  </sheetViews>
  <sheetFormatPr defaultRowHeight="15.45" x14ac:dyDescent="0.45"/>
  <cols>
    <col min="1" max="1" width="16.23046875" style="1" bestFit="1" customWidth="1"/>
    <col min="2" max="2" width="7.69140625" style="1" bestFit="1" customWidth="1"/>
    <col min="3" max="33" width="4" style="1" customWidth="1"/>
    <col min="34" max="34" width="4.921875" style="1" bestFit="1" customWidth="1"/>
    <col min="35" max="16384" width="9.23046875" style="1"/>
  </cols>
  <sheetData>
    <row r="1" spans="1:34" ht="15.9" x14ac:dyDescent="0.45">
      <c r="A1" s="41" t="s">
        <v>21</v>
      </c>
      <c r="B1" s="36" t="s">
        <v>0</v>
      </c>
      <c r="C1" s="37">
        <v>1</v>
      </c>
      <c r="D1" s="37">
        <v>2</v>
      </c>
      <c r="E1" s="37">
        <v>3</v>
      </c>
      <c r="F1" s="37">
        <v>4</v>
      </c>
      <c r="G1" s="37">
        <v>5</v>
      </c>
      <c r="H1" s="37">
        <v>6</v>
      </c>
      <c r="I1" s="37">
        <v>7</v>
      </c>
      <c r="J1" s="37">
        <v>8</v>
      </c>
      <c r="K1" s="37">
        <v>9</v>
      </c>
      <c r="L1" s="37">
        <v>10</v>
      </c>
      <c r="M1" s="37">
        <v>11</v>
      </c>
      <c r="N1" s="37">
        <v>12</v>
      </c>
      <c r="O1" s="37">
        <v>13</v>
      </c>
      <c r="P1" s="37">
        <v>14</v>
      </c>
      <c r="Q1" s="37">
        <v>15</v>
      </c>
      <c r="R1" s="37">
        <v>16</v>
      </c>
      <c r="S1" s="37">
        <v>17</v>
      </c>
      <c r="T1" s="37">
        <v>18</v>
      </c>
      <c r="U1" s="37">
        <v>19</v>
      </c>
      <c r="V1" s="37">
        <v>20</v>
      </c>
      <c r="W1" s="37">
        <v>21</v>
      </c>
      <c r="X1" s="37">
        <v>22</v>
      </c>
      <c r="Y1" s="37">
        <v>23</v>
      </c>
      <c r="Z1" s="37">
        <v>24</v>
      </c>
      <c r="AA1" s="37">
        <v>25</v>
      </c>
      <c r="AB1" s="37">
        <v>26</v>
      </c>
      <c r="AC1" s="37">
        <v>27</v>
      </c>
      <c r="AD1" s="37">
        <v>28</v>
      </c>
      <c r="AE1" s="37">
        <v>29</v>
      </c>
      <c r="AF1" s="37">
        <v>30</v>
      </c>
      <c r="AG1" s="37">
        <v>31</v>
      </c>
    </row>
    <row r="2" spans="1:34" ht="15.9" x14ac:dyDescent="0.45">
      <c r="A2" s="43" t="s">
        <v>1</v>
      </c>
      <c r="B2" s="35">
        <v>5</v>
      </c>
      <c r="C2" s="34"/>
      <c r="D2" s="34"/>
      <c r="E2" s="34"/>
      <c r="F2" s="34">
        <v>1</v>
      </c>
      <c r="G2" s="34">
        <v>2</v>
      </c>
      <c r="H2" s="34">
        <v>1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34" ht="15.9" x14ac:dyDescent="0.45">
      <c r="A3" s="43" t="s">
        <v>9</v>
      </c>
      <c r="B3" s="35">
        <v>3</v>
      </c>
      <c r="C3" s="34"/>
      <c r="D3" s="34"/>
      <c r="E3" s="34"/>
      <c r="F3" s="34"/>
      <c r="G3" s="34"/>
      <c r="H3" s="34">
        <v>2</v>
      </c>
      <c r="I3" s="34"/>
      <c r="J3" s="34"/>
      <c r="K3" s="34"/>
      <c r="L3" s="34">
        <v>1</v>
      </c>
      <c r="M3" s="34">
        <v>1</v>
      </c>
      <c r="N3" s="34">
        <v>1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</row>
    <row r="4" spans="1:34" ht="15.9" x14ac:dyDescent="0.45">
      <c r="A4" s="43" t="s">
        <v>2</v>
      </c>
      <c r="B4" s="35">
        <v>5</v>
      </c>
      <c r="C4" s="34"/>
      <c r="D4" s="34"/>
      <c r="E4" s="34"/>
      <c r="F4" s="34">
        <v>2</v>
      </c>
      <c r="G4" s="34">
        <v>1</v>
      </c>
      <c r="H4" s="34">
        <v>1</v>
      </c>
      <c r="I4" s="34"/>
      <c r="J4" s="34"/>
      <c r="K4" s="34"/>
      <c r="L4" s="34">
        <v>1</v>
      </c>
      <c r="M4" s="34">
        <v>2</v>
      </c>
      <c r="N4" s="34">
        <v>2</v>
      </c>
      <c r="O4" s="34"/>
      <c r="P4" s="34">
        <v>1</v>
      </c>
      <c r="Q4" s="34">
        <v>1</v>
      </c>
      <c r="R4" s="34">
        <v>1</v>
      </c>
      <c r="S4" s="34">
        <v>1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 spans="1:34" ht="15.9" x14ac:dyDescent="0.45">
      <c r="A5" s="43" t="s">
        <v>6</v>
      </c>
      <c r="B5" s="35">
        <v>1</v>
      </c>
      <c r="C5" s="34">
        <v>2</v>
      </c>
      <c r="D5" s="34"/>
      <c r="E5" s="34"/>
      <c r="F5" s="34"/>
      <c r="G5" s="34"/>
      <c r="H5" s="34">
        <v>1</v>
      </c>
      <c r="I5" s="34"/>
      <c r="J5" s="34"/>
      <c r="K5" s="34"/>
      <c r="L5" s="34"/>
      <c r="M5" s="34"/>
      <c r="N5" s="34"/>
      <c r="O5" s="34"/>
      <c r="P5" s="34"/>
      <c r="Q5" s="34">
        <v>1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</row>
    <row r="6" spans="1:34" ht="15.9" x14ac:dyDescent="0.45">
      <c r="A6" s="43" t="s">
        <v>3</v>
      </c>
      <c r="B6" s="35">
        <v>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</row>
    <row r="7" spans="1:34" ht="16.3" thickBot="1" x14ac:dyDescent="0.5">
      <c r="A7" s="45" t="s">
        <v>18</v>
      </c>
      <c r="B7" s="39">
        <v>1</v>
      </c>
      <c r="C7" s="40">
        <v>1</v>
      </c>
      <c r="D7" s="40"/>
      <c r="E7" s="40"/>
      <c r="F7" s="40"/>
      <c r="G7" s="40">
        <v>1</v>
      </c>
      <c r="H7" s="40"/>
      <c r="I7" s="40">
        <v>1</v>
      </c>
      <c r="J7" s="40">
        <v>1</v>
      </c>
      <c r="K7" s="40">
        <v>1</v>
      </c>
      <c r="L7" s="40">
        <v>21</v>
      </c>
      <c r="M7" s="40"/>
      <c r="N7" s="40"/>
      <c r="O7" s="40">
        <v>1</v>
      </c>
      <c r="P7" s="40"/>
      <c r="Q7" s="40">
        <v>1</v>
      </c>
      <c r="R7" s="40">
        <v>2</v>
      </c>
      <c r="S7" s="40">
        <v>1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34" ht="17.600000000000001" customHeight="1" thickTop="1" thickBot="1" x14ac:dyDescent="0.5">
      <c r="A8" s="50" t="s">
        <v>13</v>
      </c>
      <c r="B8" s="51"/>
      <c r="C8" s="38">
        <f>SUM($B$2*C2+$B$4*C4+$B$5*C5+$B$6*C6+$B$7*C7+$B$3*C3)</f>
        <v>3</v>
      </c>
      <c r="D8" s="38">
        <f t="shared" ref="D8:I8" si="0">SUM($B$2*D2+$B$4*D4+$B$5*D5+$B$6*D6+$B$7*D7+$B$3*D3)</f>
        <v>0</v>
      </c>
      <c r="E8" s="38">
        <f t="shared" si="0"/>
        <v>0</v>
      </c>
      <c r="F8" s="38">
        <f t="shared" si="0"/>
        <v>15</v>
      </c>
      <c r="G8" s="38">
        <f t="shared" si="0"/>
        <v>16</v>
      </c>
      <c r="H8" s="38">
        <f t="shared" si="0"/>
        <v>17</v>
      </c>
      <c r="I8" s="38">
        <f t="shared" si="0"/>
        <v>1</v>
      </c>
      <c r="J8" s="38">
        <f>SUM($B$2*J2+$B$4*J4+$B$5*J5+$B$6*J6+$B$7*J7+$B$3*J3)</f>
        <v>1</v>
      </c>
      <c r="K8" s="38">
        <f t="shared" ref="K8:AG8" si="1">SUM($B$2*K2+$B$4*K4+$B$5*K5+$B$6*K6+$B$7*K7+$B$3*K3)</f>
        <v>1</v>
      </c>
      <c r="L8" s="38">
        <f t="shared" si="1"/>
        <v>29</v>
      </c>
      <c r="M8" s="38">
        <f t="shared" si="1"/>
        <v>13</v>
      </c>
      <c r="N8" s="38">
        <f t="shared" si="1"/>
        <v>13</v>
      </c>
      <c r="O8" s="38">
        <f t="shared" si="1"/>
        <v>1</v>
      </c>
      <c r="P8" s="54">
        <f t="shared" si="1"/>
        <v>5</v>
      </c>
      <c r="Q8" s="54">
        <f t="shared" si="1"/>
        <v>7</v>
      </c>
      <c r="R8" s="54">
        <f t="shared" si="1"/>
        <v>7</v>
      </c>
      <c r="S8" s="54">
        <f t="shared" si="1"/>
        <v>6</v>
      </c>
      <c r="T8" s="54">
        <f t="shared" si="1"/>
        <v>0</v>
      </c>
      <c r="U8" s="54">
        <f t="shared" si="1"/>
        <v>0</v>
      </c>
      <c r="V8" s="54">
        <f t="shared" si="1"/>
        <v>0</v>
      </c>
      <c r="W8" s="38">
        <f t="shared" si="1"/>
        <v>0</v>
      </c>
      <c r="X8" s="38">
        <f t="shared" si="1"/>
        <v>0</v>
      </c>
      <c r="Y8" s="38">
        <f t="shared" si="1"/>
        <v>0</v>
      </c>
      <c r="Z8" s="38">
        <f t="shared" si="1"/>
        <v>0</v>
      </c>
      <c r="AA8" s="38">
        <f t="shared" si="1"/>
        <v>0</v>
      </c>
      <c r="AB8" s="38">
        <f t="shared" si="1"/>
        <v>0</v>
      </c>
      <c r="AC8" s="38">
        <f t="shared" si="1"/>
        <v>0</v>
      </c>
      <c r="AD8" s="38">
        <f t="shared" si="1"/>
        <v>0</v>
      </c>
      <c r="AE8" s="38">
        <f t="shared" si="1"/>
        <v>0</v>
      </c>
      <c r="AF8" s="38">
        <f t="shared" si="1"/>
        <v>0</v>
      </c>
      <c r="AG8" s="38">
        <f t="shared" si="1"/>
        <v>0</v>
      </c>
      <c r="AH8" s="1">
        <f>SUM(C8:AG8)</f>
        <v>135</v>
      </c>
    </row>
  </sheetData>
  <mergeCells count="1">
    <mergeCell ref="A8:B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202511</vt:lpstr>
      <vt:lpstr>202512</vt:lpstr>
      <vt:lpstr>202601</vt:lpstr>
      <vt:lpstr>202602</vt:lpstr>
      <vt:lpstr>202603</vt:lpstr>
      <vt:lpstr>202604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arwen hung</dc:creator>
  <cp:lastModifiedBy>arwen hung</cp:lastModifiedBy>
  <dcterms:created xsi:type="dcterms:W3CDTF">2025-11-12T13:04:27Z</dcterms:created>
  <dcterms:modified xsi:type="dcterms:W3CDTF">2026-04-17T14:12:51Z</dcterms:modified>
</cp:coreProperties>
</file>