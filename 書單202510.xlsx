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975755bc8dda9f/桌面/"/>
    </mc:Choice>
  </mc:AlternateContent>
  <xr:revisionPtr revIDLastSave="1326" documentId="8_{E70E5447-407A-4802-9D82-49860A1AC2ED}" xr6:coauthVersionLast="47" xr6:coauthVersionMax="47" xr10:uidLastSave="{D0D2CF08-86FB-4F94-8518-FC0D8EA89676}"/>
  <bookViews>
    <workbookView xWindow="-103" yWindow="-103" windowWidth="23657" windowHeight="15240" activeTab="1" xr2:uid="{E5EE5205-797D-4A49-82B3-6A2EA12B68C0}"/>
  </bookViews>
  <sheets>
    <sheet name="工作表2" sheetId="2" r:id="rId1"/>
    <sheet name="閱謮書單" sheetId="1" r:id="rId2"/>
    <sheet name="讀共" sheetId="3" r:id="rId3"/>
  </sheets>
  <definedNames>
    <definedName name="_xlnm._FilterDatabase" localSheetId="1" hidden="1">閱謮書單!$A$1:$M$515</definedName>
  </definedNames>
  <calcPr calcId="181029"/>
  <pivotCaches>
    <pivotCache cacheId="128" r:id="rId4"/>
    <pivotCache cacheId="132" r:id="rId5"/>
    <pivotCache cacheId="13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02" i="1" l="1"/>
  <c r="E503" i="1"/>
  <c r="E504" i="1"/>
  <c r="E505" i="1"/>
  <c r="E506" i="1"/>
  <c r="E507" i="1"/>
  <c r="E508" i="1"/>
  <c r="E509" i="1"/>
  <c r="E510" i="1"/>
  <c r="E511" i="1"/>
  <c r="E512" i="1"/>
  <c r="E517" i="1"/>
  <c r="L517" i="1" l="1"/>
  <c r="K517" i="1"/>
  <c r="E189" i="1"/>
  <c r="L507" i="1" l="1"/>
  <c r="L508" i="1"/>
  <c r="L509" i="1"/>
  <c r="L510" i="1"/>
  <c r="L511" i="1"/>
  <c r="L512" i="1"/>
  <c r="L513" i="1"/>
  <c r="L514" i="1"/>
  <c r="L515" i="1"/>
  <c r="L516" i="1"/>
  <c r="K516" i="1"/>
  <c r="E482" i="1" l="1"/>
  <c r="L483" i="1"/>
  <c r="K483" i="1"/>
  <c r="M481" i="1" l="1"/>
  <c r="K482" i="1"/>
  <c r="L480" i="1"/>
  <c r="E480" i="1"/>
  <c r="K480" i="1" s="1"/>
  <c r="K511" i="1" l="1"/>
  <c r="K509" i="1"/>
  <c r="K512" i="1"/>
  <c r="K515" i="1"/>
  <c r="K514" i="1"/>
  <c r="K513" i="1"/>
  <c r="K510" i="1"/>
  <c r="K508" i="1"/>
  <c r="K507" i="1"/>
  <c r="L506" i="1"/>
  <c r="L505" i="1"/>
  <c r="L504" i="1"/>
  <c r="L503" i="1"/>
  <c r="L502" i="1"/>
  <c r="K503" i="1"/>
  <c r="K504" i="1"/>
  <c r="K505" i="1"/>
  <c r="K506" i="1"/>
  <c r="K502" i="1"/>
  <c r="E362" i="1" l="1"/>
  <c r="E363" i="1"/>
  <c r="K363" i="1" s="1"/>
  <c r="E364" i="1"/>
  <c r="K364" i="1" s="1"/>
  <c r="E365" i="1"/>
  <c r="K365" i="1" s="1"/>
  <c r="E366" i="1"/>
  <c r="K366" i="1" s="1"/>
  <c r="E361" i="1"/>
  <c r="K361" i="1" s="1"/>
  <c r="E353" i="1"/>
  <c r="K353" i="1" s="1"/>
  <c r="E354" i="1"/>
  <c r="K354" i="1" s="1"/>
  <c r="E355" i="1"/>
  <c r="K355" i="1" s="1"/>
  <c r="E356" i="1"/>
  <c r="E357" i="1"/>
  <c r="E358" i="1"/>
  <c r="K358" i="1" s="1"/>
  <c r="E359" i="1"/>
  <c r="K359" i="1" s="1"/>
  <c r="E360" i="1"/>
  <c r="K360" i="1" s="1"/>
  <c r="E352" i="1"/>
  <c r="K352" i="1" s="1"/>
  <c r="L366" i="1"/>
  <c r="L365" i="1"/>
  <c r="L364" i="1"/>
  <c r="L363" i="1"/>
  <c r="L362" i="1"/>
  <c r="K362" i="1"/>
  <c r="L361" i="1"/>
  <c r="L360" i="1"/>
  <c r="L359" i="1"/>
  <c r="L358" i="1"/>
  <c r="L357" i="1"/>
  <c r="K357" i="1"/>
  <c r="L356" i="1"/>
  <c r="K356" i="1"/>
  <c r="L355" i="1"/>
  <c r="L354" i="1"/>
  <c r="L353" i="1"/>
  <c r="L352" i="1"/>
  <c r="L486" i="1"/>
  <c r="K486" i="1"/>
  <c r="G400" i="1"/>
  <c r="G401" i="1"/>
  <c r="G402" i="1"/>
  <c r="G403" i="1"/>
  <c r="G399" i="1"/>
  <c r="G8" i="1"/>
  <c r="G9" i="1"/>
  <c r="M17" i="2"/>
  <c r="L451" i="1" l="1"/>
  <c r="E451" i="1"/>
  <c r="K451" i="1" s="1"/>
  <c r="L450" i="1"/>
  <c r="E450" i="1"/>
  <c r="K450" i="1" s="1"/>
  <c r="K271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G230" i="1" l="1"/>
  <c r="G229" i="1"/>
  <c r="G228" i="1"/>
  <c r="G227" i="1"/>
  <c r="L501" i="1"/>
  <c r="L500" i="1"/>
  <c r="L499" i="1"/>
  <c r="K501" i="1"/>
  <c r="K500" i="1"/>
  <c r="K499" i="1"/>
  <c r="G445" i="1" l="1"/>
  <c r="G446" i="1"/>
  <c r="G447" i="1"/>
  <c r="G448" i="1"/>
  <c r="G449" i="1"/>
  <c r="G444" i="1"/>
  <c r="L489" i="1" l="1"/>
  <c r="L490" i="1"/>
  <c r="L491" i="1"/>
  <c r="L492" i="1"/>
  <c r="L493" i="1"/>
  <c r="L494" i="1"/>
  <c r="L495" i="1"/>
  <c r="L496" i="1"/>
  <c r="L497" i="1"/>
  <c r="L498" i="1"/>
  <c r="G207" i="1"/>
  <c r="G206" i="1"/>
  <c r="G205" i="1"/>
  <c r="G204" i="1"/>
  <c r="G203" i="1"/>
  <c r="K498" i="1"/>
  <c r="K497" i="1"/>
  <c r="K496" i="1"/>
  <c r="K495" i="1"/>
  <c r="K494" i="1"/>
  <c r="K493" i="1"/>
  <c r="K492" i="1" l="1"/>
  <c r="K491" i="1"/>
  <c r="K490" i="1"/>
  <c r="K489" i="1"/>
  <c r="L488" i="1"/>
  <c r="K488" i="1"/>
  <c r="K487" i="1"/>
  <c r="G232" i="1" l="1"/>
  <c r="G231" i="1"/>
  <c r="L485" i="1"/>
  <c r="L482" i="1"/>
  <c r="L481" i="1"/>
  <c r="L479" i="1"/>
  <c r="L478" i="1"/>
  <c r="L47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2" i="1"/>
  <c r="E279" i="1" l="1"/>
  <c r="K279" i="1" s="1"/>
  <c r="E280" i="1"/>
  <c r="K280" i="1" s="1"/>
  <c r="E281" i="1"/>
  <c r="K281" i="1" s="1"/>
  <c r="E278" i="1"/>
  <c r="K278" i="1"/>
  <c r="E474" i="1"/>
  <c r="G474" i="1"/>
  <c r="G473" i="1"/>
  <c r="G472" i="1"/>
  <c r="K485" i="1"/>
  <c r="K468" i="1"/>
  <c r="K188" i="1"/>
  <c r="G37" i="1" l="1"/>
  <c r="G38" i="1"/>
  <c r="G36" i="1"/>
  <c r="E443" i="1"/>
  <c r="K443" i="1" s="1"/>
  <c r="E442" i="1"/>
  <c r="K442" i="1" s="1"/>
  <c r="E441" i="1"/>
  <c r="K441" i="1" s="1"/>
  <c r="E440" i="1"/>
  <c r="K440" i="1" s="1"/>
  <c r="E439" i="1"/>
  <c r="K439" i="1" s="1"/>
  <c r="E217" i="1"/>
  <c r="K217" i="1" s="1"/>
  <c r="E216" i="1"/>
  <c r="K216" i="1" s="1"/>
  <c r="E215" i="1"/>
  <c r="K215" i="1" s="1"/>
  <c r="E214" i="1"/>
  <c r="K214" i="1" s="1"/>
  <c r="E213" i="1"/>
  <c r="K213" i="1" s="1"/>
  <c r="E212" i="1"/>
  <c r="K212" i="1" s="1"/>
  <c r="E211" i="1"/>
  <c r="K211" i="1" s="1"/>
  <c r="G452" i="1"/>
  <c r="G270" i="1"/>
  <c r="G221" i="1"/>
  <c r="G222" i="1"/>
  <c r="G223" i="1"/>
  <c r="G224" i="1"/>
  <c r="G225" i="1"/>
  <c r="G226" i="1"/>
  <c r="G220" i="1"/>
  <c r="K151" i="1"/>
  <c r="K189" i="1"/>
  <c r="K467" i="1" l="1"/>
  <c r="E232" i="1"/>
  <c r="K232" i="1" s="1"/>
  <c r="E231" i="1"/>
  <c r="K231" i="1" s="1"/>
  <c r="E230" i="1"/>
  <c r="K230" i="1" s="1"/>
  <c r="E229" i="1"/>
  <c r="K229" i="1" s="1"/>
  <c r="E228" i="1"/>
  <c r="K228" i="1" s="1"/>
  <c r="E227" i="1"/>
  <c r="K227" i="1" s="1"/>
  <c r="K453" i="1"/>
  <c r="E479" i="1"/>
  <c r="K479" i="1" s="1"/>
  <c r="G28" i="1"/>
  <c r="G27" i="1"/>
  <c r="E478" i="1"/>
  <c r="K478" i="1" s="1"/>
  <c r="E470" i="1"/>
  <c r="K470" i="1" s="1"/>
  <c r="E471" i="1"/>
  <c r="K471" i="1" s="1"/>
  <c r="E469" i="1"/>
  <c r="K469" i="1" s="1"/>
  <c r="E477" i="1"/>
  <c r="E481" i="1" s="1"/>
  <c r="K481" i="1" s="1"/>
  <c r="K186" i="1"/>
  <c r="K187" i="1"/>
  <c r="K466" i="1"/>
  <c r="E149" i="1"/>
  <c r="E148" i="1"/>
  <c r="E147" i="1"/>
  <c r="E146" i="1"/>
  <c r="E145" i="1"/>
  <c r="G146" i="1"/>
  <c r="G147" i="1"/>
  <c r="G148" i="1"/>
  <c r="G149" i="1"/>
  <c r="G145" i="1"/>
  <c r="K2" i="1"/>
  <c r="K46" i="1"/>
  <c r="K47" i="1"/>
  <c r="K45" i="1"/>
  <c r="K3" i="1"/>
  <c r="K195" i="1"/>
  <c r="E338" i="1"/>
  <c r="K338" i="1" s="1"/>
  <c r="E339" i="1"/>
  <c r="K339" i="1" s="1"/>
  <c r="E340" i="1"/>
  <c r="K340" i="1" s="1"/>
  <c r="E341" i="1"/>
  <c r="K341" i="1" s="1"/>
  <c r="E342" i="1"/>
  <c r="K342" i="1" s="1"/>
  <c r="E343" i="1"/>
  <c r="K343" i="1" s="1"/>
  <c r="E344" i="1"/>
  <c r="K344" i="1" s="1"/>
  <c r="E345" i="1"/>
  <c r="K345" i="1" s="1"/>
  <c r="E346" i="1"/>
  <c r="K346" i="1" s="1"/>
  <c r="E337" i="1"/>
  <c r="K337" i="1" s="1"/>
  <c r="E327" i="1"/>
  <c r="K327" i="1" s="1"/>
  <c r="E328" i="1"/>
  <c r="K328" i="1" s="1"/>
  <c r="E329" i="1"/>
  <c r="K329" i="1" s="1"/>
  <c r="E330" i="1"/>
  <c r="K330" i="1" s="1"/>
  <c r="E331" i="1"/>
  <c r="K331" i="1" s="1"/>
  <c r="E332" i="1"/>
  <c r="K332" i="1" s="1"/>
  <c r="E333" i="1"/>
  <c r="K333" i="1" s="1"/>
  <c r="E334" i="1"/>
  <c r="K334" i="1" s="1"/>
  <c r="E335" i="1"/>
  <c r="K335" i="1" s="1"/>
  <c r="E336" i="1"/>
  <c r="K336" i="1" s="1"/>
  <c r="E318" i="1"/>
  <c r="K318" i="1" s="1"/>
  <c r="E319" i="1"/>
  <c r="K319" i="1" s="1"/>
  <c r="E320" i="1"/>
  <c r="K320" i="1" s="1"/>
  <c r="E321" i="1"/>
  <c r="K321" i="1" s="1"/>
  <c r="E322" i="1"/>
  <c r="K322" i="1" s="1"/>
  <c r="E323" i="1"/>
  <c r="K323" i="1" s="1"/>
  <c r="E324" i="1"/>
  <c r="K324" i="1" s="1"/>
  <c r="E325" i="1"/>
  <c r="K325" i="1" s="1"/>
  <c r="E326" i="1"/>
  <c r="K326" i="1" s="1"/>
  <c r="E317" i="1"/>
  <c r="K317" i="1" s="1"/>
  <c r="E314" i="1"/>
  <c r="K314" i="1" s="1"/>
  <c r="E315" i="1"/>
  <c r="K315" i="1" s="1"/>
  <c r="E316" i="1"/>
  <c r="K316" i="1" s="1"/>
  <c r="E306" i="1"/>
  <c r="K306" i="1" s="1"/>
  <c r="E307" i="1"/>
  <c r="K307" i="1" s="1"/>
  <c r="E308" i="1"/>
  <c r="K308" i="1" s="1"/>
  <c r="E309" i="1"/>
  <c r="K309" i="1" s="1"/>
  <c r="E310" i="1"/>
  <c r="K310" i="1" s="1"/>
  <c r="E311" i="1"/>
  <c r="K311" i="1" s="1"/>
  <c r="E312" i="1"/>
  <c r="K312" i="1" s="1"/>
  <c r="E313" i="1"/>
  <c r="K313" i="1" s="1"/>
  <c r="E294" i="1"/>
  <c r="K294" i="1" s="1"/>
  <c r="E295" i="1"/>
  <c r="K295" i="1" s="1"/>
  <c r="E296" i="1"/>
  <c r="K296" i="1" s="1"/>
  <c r="E297" i="1"/>
  <c r="K297" i="1" s="1"/>
  <c r="E298" i="1"/>
  <c r="K298" i="1" s="1"/>
  <c r="E299" i="1"/>
  <c r="K299" i="1" s="1"/>
  <c r="E300" i="1"/>
  <c r="K300" i="1" s="1"/>
  <c r="E301" i="1"/>
  <c r="K301" i="1" s="1"/>
  <c r="E302" i="1"/>
  <c r="K302" i="1" s="1"/>
  <c r="E303" i="1"/>
  <c r="K303" i="1" s="1"/>
  <c r="E304" i="1"/>
  <c r="K304" i="1" s="1"/>
  <c r="E305" i="1"/>
  <c r="K305" i="1" s="1"/>
  <c r="E283" i="1"/>
  <c r="K283" i="1" s="1"/>
  <c r="E284" i="1"/>
  <c r="K284" i="1" s="1"/>
  <c r="E285" i="1"/>
  <c r="K285" i="1" s="1"/>
  <c r="E286" i="1"/>
  <c r="K286" i="1" s="1"/>
  <c r="E287" i="1"/>
  <c r="K287" i="1" s="1"/>
  <c r="E288" i="1"/>
  <c r="K288" i="1" s="1"/>
  <c r="E289" i="1"/>
  <c r="K289" i="1" s="1"/>
  <c r="E290" i="1"/>
  <c r="K290" i="1" s="1"/>
  <c r="E291" i="1"/>
  <c r="K291" i="1" s="1"/>
  <c r="E292" i="1"/>
  <c r="K292" i="1" s="1"/>
  <c r="E293" i="1"/>
  <c r="K293" i="1" s="1"/>
  <c r="E282" i="1"/>
  <c r="K282" i="1" s="1"/>
  <c r="G41" i="1"/>
  <c r="G42" i="1"/>
  <c r="G40" i="1"/>
  <c r="G135" i="1"/>
  <c r="G136" i="1"/>
  <c r="G137" i="1"/>
  <c r="G134" i="1"/>
  <c r="E135" i="1"/>
  <c r="E136" i="1"/>
  <c r="E137" i="1"/>
  <c r="E134" i="1"/>
  <c r="G476" i="1"/>
  <c r="K476" i="1" s="1"/>
  <c r="K484" i="1"/>
  <c r="G460" i="1"/>
  <c r="G461" i="1"/>
  <c r="G462" i="1"/>
  <c r="G463" i="1"/>
  <c r="G464" i="1"/>
  <c r="G465" i="1"/>
  <c r="G459" i="1"/>
  <c r="E465" i="1"/>
  <c r="G141" i="1"/>
  <c r="G142" i="1"/>
  <c r="G143" i="1"/>
  <c r="G144" i="1"/>
  <c r="G140" i="1"/>
  <c r="E141" i="1"/>
  <c r="E142" i="1"/>
  <c r="E143" i="1"/>
  <c r="E144" i="1"/>
  <c r="E140" i="1"/>
  <c r="K425" i="1"/>
  <c r="K426" i="1"/>
  <c r="K427" i="1"/>
  <c r="K428" i="1"/>
  <c r="K452" i="1"/>
  <c r="K456" i="1"/>
  <c r="K457" i="1"/>
  <c r="K458" i="1"/>
  <c r="K472" i="1"/>
  <c r="K473" i="1"/>
  <c r="K474" i="1"/>
  <c r="K475" i="1"/>
  <c r="G438" i="1"/>
  <c r="G437" i="1"/>
  <c r="G436" i="1"/>
  <c r="G435" i="1"/>
  <c r="G433" i="1"/>
  <c r="G432" i="1"/>
  <c r="G431" i="1"/>
  <c r="G430" i="1"/>
  <c r="G429" i="1"/>
  <c r="G434" i="1"/>
  <c r="E430" i="1"/>
  <c r="E431" i="1"/>
  <c r="E432" i="1"/>
  <c r="E433" i="1"/>
  <c r="E434" i="1"/>
  <c r="E429" i="1"/>
  <c r="E435" i="1"/>
  <c r="E436" i="1"/>
  <c r="E437" i="1"/>
  <c r="E438" i="1"/>
  <c r="K150" i="1"/>
  <c r="G139" i="1"/>
  <c r="G138" i="1"/>
  <c r="E139" i="1"/>
  <c r="E138" i="1"/>
  <c r="E459" i="1"/>
  <c r="E460" i="1"/>
  <c r="E461" i="1"/>
  <c r="E463" i="1"/>
  <c r="E464" i="1"/>
  <c r="E462" i="1"/>
  <c r="E167" i="1"/>
  <c r="K167" i="1" s="1"/>
  <c r="E168" i="1"/>
  <c r="K168" i="1" s="1"/>
  <c r="E169" i="1"/>
  <c r="K169" i="1" s="1"/>
  <c r="E170" i="1"/>
  <c r="K170" i="1" s="1"/>
  <c r="E166" i="1"/>
  <c r="K166" i="1" s="1"/>
  <c r="K409" i="1"/>
  <c r="K408" i="1"/>
  <c r="K407" i="1"/>
  <c r="K412" i="1"/>
  <c r="K411" i="1"/>
  <c r="K410" i="1"/>
  <c r="K405" i="1"/>
  <c r="K404" i="1"/>
  <c r="K406" i="1"/>
  <c r="E400" i="1"/>
  <c r="K400" i="1" s="1"/>
  <c r="E401" i="1"/>
  <c r="K401" i="1" s="1"/>
  <c r="E402" i="1"/>
  <c r="K402" i="1" s="1"/>
  <c r="E403" i="1"/>
  <c r="K403" i="1" s="1"/>
  <c r="E399" i="1"/>
  <c r="K399" i="1" s="1"/>
  <c r="E398" i="1"/>
  <c r="K398" i="1" s="1"/>
  <c r="E397" i="1"/>
  <c r="K397" i="1" s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G388" i="1"/>
  <c r="K388" i="1" s="1"/>
  <c r="G389" i="1"/>
  <c r="K389" i="1" s="1"/>
  <c r="G390" i="1"/>
  <c r="K390" i="1" s="1"/>
  <c r="G391" i="1"/>
  <c r="K391" i="1" s="1"/>
  <c r="G392" i="1"/>
  <c r="K392" i="1" s="1"/>
  <c r="G393" i="1"/>
  <c r="K393" i="1" s="1"/>
  <c r="G394" i="1"/>
  <c r="K394" i="1" s="1"/>
  <c r="G395" i="1"/>
  <c r="K395" i="1" s="1"/>
  <c r="G396" i="1"/>
  <c r="K396" i="1" s="1"/>
  <c r="K218" i="1"/>
  <c r="K219" i="1"/>
  <c r="K233" i="1"/>
  <c r="K234" i="1"/>
  <c r="K235" i="1"/>
  <c r="K249" i="1"/>
  <c r="K250" i="1"/>
  <c r="K255" i="1"/>
  <c r="K256" i="1"/>
  <c r="K257" i="1"/>
  <c r="K258" i="1"/>
  <c r="K259" i="1"/>
  <c r="K265" i="1"/>
  <c r="K266" i="1"/>
  <c r="K267" i="1"/>
  <c r="K268" i="1"/>
  <c r="K269" i="1"/>
  <c r="K270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7" i="1"/>
  <c r="K10" i="1"/>
  <c r="K12" i="1"/>
  <c r="K102" i="1"/>
  <c r="K103" i="1"/>
  <c r="K104" i="1"/>
  <c r="K105" i="1"/>
  <c r="K106" i="1"/>
  <c r="K107" i="1"/>
  <c r="K108" i="1"/>
  <c r="K109" i="1"/>
  <c r="K110" i="1"/>
  <c r="K111" i="1"/>
  <c r="K15" i="1"/>
  <c r="K21" i="1"/>
  <c r="K22" i="1"/>
  <c r="K23" i="1"/>
  <c r="K24" i="1"/>
  <c r="K25" i="1"/>
  <c r="K26" i="1"/>
  <c r="K29" i="1"/>
  <c r="K36" i="1"/>
  <c r="K37" i="1"/>
  <c r="K38" i="1"/>
  <c r="K39" i="1"/>
  <c r="K44" i="1"/>
  <c r="K43" i="1"/>
  <c r="K48" i="1"/>
  <c r="K49" i="1"/>
  <c r="K50" i="1"/>
  <c r="K51" i="1"/>
  <c r="G455" i="1"/>
  <c r="G454" i="1"/>
  <c r="E455" i="1"/>
  <c r="E454" i="1"/>
  <c r="E163" i="1"/>
  <c r="K163" i="1" s="1"/>
  <c r="E164" i="1"/>
  <c r="K164" i="1" s="1"/>
  <c r="E165" i="1"/>
  <c r="K165" i="1" s="1"/>
  <c r="E162" i="1"/>
  <c r="K162" i="1" s="1"/>
  <c r="E204" i="1"/>
  <c r="K204" i="1" s="1"/>
  <c r="E205" i="1"/>
  <c r="K205" i="1" s="1"/>
  <c r="E206" i="1"/>
  <c r="K206" i="1" s="1"/>
  <c r="E207" i="1"/>
  <c r="K207" i="1" s="1"/>
  <c r="E203" i="1"/>
  <c r="K203" i="1" s="1"/>
  <c r="E197" i="1"/>
  <c r="K197" i="1" s="1"/>
  <c r="E198" i="1"/>
  <c r="K198" i="1" s="1"/>
  <c r="E199" i="1"/>
  <c r="K199" i="1" s="1"/>
  <c r="E200" i="1"/>
  <c r="K200" i="1" s="1"/>
  <c r="E201" i="1"/>
  <c r="K201" i="1" s="1"/>
  <c r="E202" i="1"/>
  <c r="K202" i="1" s="1"/>
  <c r="E196" i="1"/>
  <c r="K196" i="1" s="1"/>
  <c r="E445" i="1"/>
  <c r="K445" i="1" s="1"/>
  <c r="E446" i="1"/>
  <c r="K446" i="1" s="1"/>
  <c r="E447" i="1"/>
  <c r="K447" i="1" s="1"/>
  <c r="E448" i="1"/>
  <c r="K448" i="1" s="1"/>
  <c r="E449" i="1"/>
  <c r="K449" i="1" s="1"/>
  <c r="E444" i="1"/>
  <c r="K444" i="1" s="1"/>
  <c r="E221" i="1"/>
  <c r="K221" i="1" s="1"/>
  <c r="E222" i="1"/>
  <c r="K222" i="1" s="1"/>
  <c r="E223" i="1"/>
  <c r="K223" i="1" s="1"/>
  <c r="E224" i="1"/>
  <c r="K224" i="1" s="1"/>
  <c r="E225" i="1"/>
  <c r="K225" i="1" s="1"/>
  <c r="E226" i="1"/>
  <c r="K226" i="1" s="1"/>
  <c r="E220" i="1"/>
  <c r="K220" i="1" s="1"/>
  <c r="E414" i="1"/>
  <c r="K414" i="1" s="1"/>
  <c r="E415" i="1"/>
  <c r="K415" i="1" s="1"/>
  <c r="E416" i="1"/>
  <c r="K416" i="1" s="1"/>
  <c r="E417" i="1"/>
  <c r="K417" i="1" s="1"/>
  <c r="E418" i="1"/>
  <c r="K418" i="1" s="1"/>
  <c r="E419" i="1"/>
  <c r="K419" i="1" s="1"/>
  <c r="E420" i="1"/>
  <c r="K420" i="1" s="1"/>
  <c r="E421" i="1"/>
  <c r="K421" i="1" s="1"/>
  <c r="E422" i="1"/>
  <c r="K422" i="1" s="1"/>
  <c r="E423" i="1"/>
  <c r="K423" i="1" s="1"/>
  <c r="E424" i="1"/>
  <c r="K424" i="1" s="1"/>
  <c r="E413" i="1"/>
  <c r="K413" i="1" s="1"/>
  <c r="E131" i="1"/>
  <c r="K131" i="1" s="1"/>
  <c r="E132" i="1"/>
  <c r="K132" i="1" s="1"/>
  <c r="E133" i="1"/>
  <c r="K133" i="1" s="1"/>
  <c r="E130" i="1"/>
  <c r="K130" i="1" s="1"/>
  <c r="E17" i="1"/>
  <c r="K17" i="1" s="1"/>
  <c r="E18" i="1"/>
  <c r="K18" i="1" s="1"/>
  <c r="E19" i="1"/>
  <c r="K19" i="1" s="1"/>
  <c r="E20" i="1"/>
  <c r="K20" i="1" s="1"/>
  <c r="E16" i="1"/>
  <c r="K16" i="1" s="1"/>
  <c r="E348" i="1"/>
  <c r="K348" i="1" s="1"/>
  <c r="E349" i="1"/>
  <c r="K349" i="1" s="1"/>
  <c r="E350" i="1"/>
  <c r="K350" i="1" s="1"/>
  <c r="E351" i="1"/>
  <c r="K351" i="1" s="1"/>
  <c r="E347" i="1"/>
  <c r="K347" i="1" s="1"/>
  <c r="E263" i="1"/>
  <c r="K263" i="1" s="1"/>
  <c r="E264" i="1"/>
  <c r="K264" i="1" s="1"/>
  <c r="E262" i="1"/>
  <c r="K262" i="1" s="1"/>
  <c r="E261" i="1"/>
  <c r="K261" i="1" s="1"/>
  <c r="E260" i="1"/>
  <c r="K260" i="1" s="1"/>
  <c r="E252" i="1"/>
  <c r="K252" i="1" s="1"/>
  <c r="E253" i="1"/>
  <c r="K253" i="1" s="1"/>
  <c r="E254" i="1"/>
  <c r="K254" i="1" s="1"/>
  <c r="E251" i="1"/>
  <c r="K251" i="1" s="1"/>
  <c r="E247" i="1"/>
  <c r="K247" i="1" s="1"/>
  <c r="E248" i="1"/>
  <c r="K248" i="1" s="1"/>
  <c r="E246" i="1"/>
  <c r="K246" i="1" s="1"/>
  <c r="E241" i="1"/>
  <c r="K241" i="1" s="1"/>
  <c r="E242" i="1"/>
  <c r="K242" i="1" s="1"/>
  <c r="E243" i="1"/>
  <c r="K243" i="1" s="1"/>
  <c r="E244" i="1"/>
  <c r="K244" i="1" s="1"/>
  <c r="E245" i="1"/>
  <c r="K245" i="1" s="1"/>
  <c r="E240" i="1"/>
  <c r="K240" i="1" s="1"/>
  <c r="E237" i="1"/>
  <c r="K237" i="1" s="1"/>
  <c r="E238" i="1"/>
  <c r="K238" i="1" s="1"/>
  <c r="E239" i="1"/>
  <c r="K239" i="1" s="1"/>
  <c r="E236" i="1"/>
  <c r="K236" i="1" s="1"/>
  <c r="E209" i="1"/>
  <c r="K209" i="1" s="1"/>
  <c r="E210" i="1"/>
  <c r="K210" i="1" s="1"/>
  <c r="E208" i="1"/>
  <c r="K208" i="1" s="1"/>
  <c r="E172" i="1"/>
  <c r="K172" i="1" s="1"/>
  <c r="E173" i="1"/>
  <c r="K173" i="1" s="1"/>
  <c r="E174" i="1"/>
  <c r="K174" i="1" s="1"/>
  <c r="E175" i="1"/>
  <c r="K175" i="1" s="1"/>
  <c r="E171" i="1"/>
  <c r="K171" i="1" s="1"/>
  <c r="E177" i="1"/>
  <c r="K177" i="1" s="1"/>
  <c r="E178" i="1"/>
  <c r="K178" i="1" s="1"/>
  <c r="E179" i="1"/>
  <c r="K179" i="1" s="1"/>
  <c r="E176" i="1"/>
  <c r="K176" i="1" s="1"/>
  <c r="E181" i="1"/>
  <c r="K181" i="1" s="1"/>
  <c r="E182" i="1"/>
  <c r="K182" i="1" s="1"/>
  <c r="E180" i="1"/>
  <c r="K180" i="1" s="1"/>
  <c r="E191" i="1"/>
  <c r="K191" i="1" s="1"/>
  <c r="E192" i="1"/>
  <c r="K192" i="1" s="1"/>
  <c r="E193" i="1"/>
  <c r="K193" i="1" s="1"/>
  <c r="E194" i="1"/>
  <c r="K194" i="1" s="1"/>
  <c r="E190" i="1"/>
  <c r="K190" i="1" s="1"/>
  <c r="E184" i="1"/>
  <c r="K184" i="1" s="1"/>
  <c r="E185" i="1"/>
  <c r="K185" i="1" s="1"/>
  <c r="E183" i="1"/>
  <c r="K183" i="1" s="1"/>
  <c r="E160" i="1"/>
  <c r="K160" i="1" s="1"/>
  <c r="E161" i="1"/>
  <c r="K161" i="1" s="1"/>
  <c r="E159" i="1"/>
  <c r="K159" i="1" s="1"/>
  <c r="E157" i="1"/>
  <c r="K157" i="1" s="1"/>
  <c r="E158" i="1"/>
  <c r="K158" i="1" s="1"/>
  <c r="E156" i="1"/>
  <c r="K156" i="1" s="1"/>
  <c r="E153" i="1"/>
  <c r="K153" i="1" s="1"/>
  <c r="E154" i="1"/>
  <c r="K154" i="1" s="1"/>
  <c r="E155" i="1"/>
  <c r="K155" i="1" s="1"/>
  <c r="E152" i="1"/>
  <c r="K152" i="1" s="1"/>
  <c r="E63" i="1"/>
  <c r="K63" i="1" s="1"/>
  <c r="E64" i="1"/>
  <c r="K64" i="1" s="1"/>
  <c r="E65" i="1"/>
  <c r="K65" i="1" s="1"/>
  <c r="E66" i="1"/>
  <c r="K66" i="1" s="1"/>
  <c r="E67" i="1"/>
  <c r="K67" i="1" s="1"/>
  <c r="E68" i="1"/>
  <c r="K68" i="1" s="1"/>
  <c r="E69" i="1"/>
  <c r="K69" i="1" s="1"/>
  <c r="E70" i="1"/>
  <c r="K70" i="1" s="1"/>
  <c r="E71" i="1"/>
  <c r="K71" i="1" s="1"/>
  <c r="E62" i="1"/>
  <c r="K62" i="1" s="1"/>
  <c r="E53" i="1"/>
  <c r="K53" i="1" s="1"/>
  <c r="E54" i="1"/>
  <c r="K54" i="1" s="1"/>
  <c r="E55" i="1"/>
  <c r="K55" i="1" s="1"/>
  <c r="E56" i="1"/>
  <c r="K56" i="1" s="1"/>
  <c r="E57" i="1"/>
  <c r="K57" i="1" s="1"/>
  <c r="E58" i="1"/>
  <c r="K58" i="1" s="1"/>
  <c r="E59" i="1"/>
  <c r="K59" i="1" s="1"/>
  <c r="E60" i="1"/>
  <c r="K60" i="1" s="1"/>
  <c r="E61" i="1"/>
  <c r="K61" i="1" s="1"/>
  <c r="E52" i="1"/>
  <c r="K52" i="1" s="1"/>
  <c r="G113" i="1"/>
  <c r="K113" i="1" s="1"/>
  <c r="G114" i="1"/>
  <c r="K114" i="1" s="1"/>
  <c r="G115" i="1"/>
  <c r="K115" i="1" s="1"/>
  <c r="G116" i="1"/>
  <c r="K116" i="1" s="1"/>
  <c r="G117" i="1"/>
  <c r="K117" i="1" s="1"/>
  <c r="G112" i="1"/>
  <c r="K112" i="1" s="1"/>
  <c r="G31" i="1"/>
  <c r="K31" i="1" s="1"/>
  <c r="G32" i="1"/>
  <c r="K32" i="1" s="1"/>
  <c r="G30" i="1"/>
  <c r="K30" i="1" s="1"/>
  <c r="G119" i="1"/>
  <c r="G120" i="1"/>
  <c r="G121" i="1"/>
  <c r="G122" i="1"/>
  <c r="G123" i="1"/>
  <c r="G124" i="1"/>
  <c r="G118" i="1"/>
  <c r="E126" i="1"/>
  <c r="K126" i="1" s="1"/>
  <c r="E127" i="1"/>
  <c r="K127" i="1" s="1"/>
  <c r="E128" i="1"/>
  <c r="K128" i="1" s="1"/>
  <c r="E129" i="1"/>
  <c r="K129" i="1" s="1"/>
  <c r="E125" i="1"/>
  <c r="K125" i="1" s="1"/>
  <c r="E119" i="1"/>
  <c r="E120" i="1"/>
  <c r="E121" i="1"/>
  <c r="E122" i="1"/>
  <c r="E123" i="1"/>
  <c r="E124" i="1"/>
  <c r="E118" i="1"/>
  <c r="E93" i="1"/>
  <c r="K93" i="1" s="1"/>
  <c r="E94" i="1"/>
  <c r="K94" i="1" s="1"/>
  <c r="E95" i="1"/>
  <c r="K95" i="1" s="1"/>
  <c r="E96" i="1"/>
  <c r="K96" i="1" s="1"/>
  <c r="E92" i="1"/>
  <c r="K92" i="1" s="1"/>
  <c r="E99" i="1"/>
  <c r="K99" i="1" s="1"/>
  <c r="E100" i="1"/>
  <c r="K100" i="1" s="1"/>
  <c r="E101" i="1"/>
  <c r="K101" i="1" s="1"/>
  <c r="E98" i="1"/>
  <c r="K98" i="1" s="1"/>
  <c r="E97" i="1"/>
  <c r="K97" i="1" s="1"/>
  <c r="E41" i="1"/>
  <c r="E42" i="1"/>
  <c r="E40" i="1"/>
  <c r="E34" i="1"/>
  <c r="K34" i="1" s="1"/>
  <c r="E35" i="1"/>
  <c r="K35" i="1" s="1"/>
  <c r="E33" i="1"/>
  <c r="K33" i="1" s="1"/>
  <c r="E28" i="1"/>
  <c r="E27" i="1"/>
  <c r="E14" i="1"/>
  <c r="K14" i="1" s="1"/>
  <c r="E13" i="1"/>
  <c r="K13" i="1" s="1"/>
  <c r="E11" i="1"/>
  <c r="K11" i="1" s="1"/>
  <c r="E9" i="1"/>
  <c r="K9" i="1" s="1"/>
  <c r="E8" i="1"/>
  <c r="K8" i="1" s="1"/>
  <c r="E6" i="1"/>
  <c r="K6" i="1" s="1"/>
  <c r="E5" i="1"/>
  <c r="K5" i="1" s="1"/>
  <c r="E4" i="1"/>
  <c r="K4" i="1" s="1"/>
  <c r="K28" i="1" l="1"/>
  <c r="K27" i="1"/>
  <c r="K477" i="1"/>
  <c r="K146" i="1"/>
  <c r="K147" i="1"/>
  <c r="K145" i="1"/>
  <c r="K149" i="1"/>
  <c r="K148" i="1"/>
  <c r="K135" i="1"/>
  <c r="K136" i="1"/>
  <c r="K42" i="1"/>
  <c r="K41" i="1"/>
  <c r="K40" i="1"/>
  <c r="K134" i="1"/>
  <c r="K137" i="1"/>
  <c r="K430" i="1"/>
  <c r="K462" i="1"/>
  <c r="K431" i="1"/>
  <c r="K460" i="1"/>
  <c r="K437" i="1"/>
  <c r="K434" i="1"/>
  <c r="K459" i="1"/>
  <c r="K140" i="1"/>
  <c r="K463" i="1"/>
  <c r="K455" i="1"/>
  <c r="K142" i="1"/>
  <c r="K464" i="1"/>
  <c r="K433" i="1"/>
  <c r="K141" i="1"/>
  <c r="K465" i="1"/>
  <c r="K461" i="1"/>
  <c r="K454" i="1"/>
  <c r="K432" i="1"/>
  <c r="K436" i="1"/>
  <c r="K435" i="1"/>
  <c r="K429" i="1"/>
  <c r="K438" i="1"/>
  <c r="K144" i="1"/>
  <c r="K143" i="1"/>
  <c r="K138" i="1"/>
  <c r="K139" i="1"/>
  <c r="K120" i="1"/>
  <c r="K119" i="1"/>
  <c r="K121" i="1"/>
  <c r="K118" i="1"/>
  <c r="K124" i="1"/>
  <c r="K123" i="1"/>
  <c r="K122" i="1"/>
</calcChain>
</file>

<file path=xl/sharedStrings.xml><?xml version="1.0" encoding="utf-8"?>
<sst xmlns="http://schemas.openxmlformats.org/spreadsheetml/2006/main" count="2048" uniqueCount="676">
  <si>
    <t>購買日</t>
    <phoneticPr fontId="1" type="noConversion"/>
  </si>
  <si>
    <t>出版社</t>
    <phoneticPr fontId="1" type="noConversion"/>
  </si>
  <si>
    <t>書名</t>
    <phoneticPr fontId="1" type="noConversion"/>
  </si>
  <si>
    <t>買入價</t>
    <phoneticPr fontId="1" type="noConversion"/>
  </si>
  <si>
    <t>售出價</t>
    <phoneticPr fontId="1" type="noConversion"/>
  </si>
  <si>
    <t>售出日</t>
    <phoneticPr fontId="1" type="noConversion"/>
  </si>
  <si>
    <t>親子天下</t>
    <phoneticPr fontId="1" type="noConversion"/>
  </si>
  <si>
    <t>奇想聊齋1</t>
    <phoneticPr fontId="1" type="noConversion"/>
  </si>
  <si>
    <t>奇想聊齋2</t>
  </si>
  <si>
    <t>奇想聊齋3</t>
  </si>
  <si>
    <t>備註</t>
    <phoneticPr fontId="1" type="noConversion"/>
  </si>
  <si>
    <t>購買平台</t>
    <phoneticPr fontId="1" type="noConversion"/>
  </si>
  <si>
    <t>奇想三國1：九命喜鵲救曹操</t>
    <phoneticPr fontId="1" type="noConversion"/>
  </si>
  <si>
    <t>身體怎麼了</t>
    <phoneticPr fontId="1" type="noConversion"/>
  </si>
  <si>
    <t>生病怎麼辦</t>
    <phoneticPr fontId="1" type="noConversion"/>
  </si>
  <si>
    <t>有使用點數及優惠券300</t>
    <phoneticPr fontId="1" type="noConversion"/>
  </si>
  <si>
    <t>伊豬豬和魯豬豬異想天開腦治大開古怪故事集：勇敢的勇太</t>
    <phoneticPr fontId="1" type="noConversion"/>
  </si>
  <si>
    <t>有使用3.1萬點及優惠券300</t>
  </si>
  <si>
    <t>有使用3.1萬點及優惠券300</t>
    <phoneticPr fontId="1" type="noConversion"/>
  </si>
  <si>
    <t>最想吃的漫畫世界史：好味甜點時光機</t>
    <phoneticPr fontId="1" type="noConversion"/>
  </si>
  <si>
    <t>最想吃的漫畫世界史：好味食品實驗室</t>
    <phoneticPr fontId="1" type="noConversion"/>
  </si>
  <si>
    <t>汪汪狗圖解生活數學套書-為什麼電梯沒有0樓？</t>
    <phoneticPr fontId="1" type="noConversion"/>
  </si>
  <si>
    <t>汪汪狗圖解生活數學套書-一眨眼的時間是幾秒？</t>
    <phoneticPr fontId="1" type="noConversion"/>
  </si>
  <si>
    <t>怪傑佐羅力60</t>
  </si>
  <si>
    <t>怪傑佐羅力56</t>
    <phoneticPr fontId="1" type="noConversion"/>
  </si>
  <si>
    <t>怪傑佐羅力57</t>
  </si>
  <si>
    <t>怪傑佐羅力58</t>
  </si>
  <si>
    <t>怪傑佐羅力59</t>
  </si>
  <si>
    <t>優惠券100元</t>
    <phoneticPr fontId="1" type="noConversion"/>
  </si>
  <si>
    <t>怪傑佐羅力51</t>
    <phoneticPr fontId="1" type="noConversion"/>
  </si>
  <si>
    <t>怪傑佐羅力52</t>
  </si>
  <si>
    <t>怪傑佐羅力53</t>
  </si>
  <si>
    <t>怪傑佐羅力54</t>
  </si>
  <si>
    <t>怪傑佐羅力55</t>
  </si>
  <si>
    <t>最有梗的人體教室：針筒兄弟與他們的器官小夥伴</t>
    <phoneticPr fontId="1" type="noConversion"/>
  </si>
  <si>
    <t>使用6700點及優惠券100元</t>
    <phoneticPr fontId="1" type="noConversion"/>
  </si>
  <si>
    <t>科學不思議1：點亮營火蟲之光</t>
    <phoneticPr fontId="1" type="noConversion"/>
  </si>
  <si>
    <t>科學不思議2：生理時鐘滴答滴</t>
    <phoneticPr fontId="1" type="noConversion"/>
  </si>
  <si>
    <t>科學不思議3：神奇植物吹泡泡</t>
    <phoneticPr fontId="1" type="noConversion"/>
  </si>
  <si>
    <t>科學不思議4：好想去月球</t>
    <phoneticPr fontId="1" type="noConversion"/>
  </si>
  <si>
    <t>科學不思議5：尾巴大調查</t>
    <phoneticPr fontId="1" type="noConversion"/>
  </si>
  <si>
    <t>我愛奇怪阿嬤</t>
    <phoneticPr fontId="1" type="noConversion"/>
  </si>
  <si>
    <t>我愛奇怪阿公</t>
    <phoneticPr fontId="1" type="noConversion"/>
  </si>
  <si>
    <t>學思達小學堂2：都是我的</t>
    <phoneticPr fontId="1" type="noConversion"/>
  </si>
  <si>
    <t>科學不思議6：昆蟲量體重</t>
    <phoneticPr fontId="1" type="noConversion"/>
  </si>
  <si>
    <t>快閃貓生活謎語童話1：神祕山有鬼？</t>
    <phoneticPr fontId="1" type="noConversion"/>
  </si>
  <si>
    <t>快閃貓生活謎語童話2：滾滾豬大富翁</t>
    <phoneticPr fontId="1" type="noConversion"/>
  </si>
  <si>
    <t>快閃貓生活謎語童話3：超級難唸的安眠咒</t>
    <phoneticPr fontId="1" type="noConversion"/>
  </si>
  <si>
    <t>奇想三十六計套書1</t>
    <phoneticPr fontId="1" type="noConversion"/>
  </si>
  <si>
    <t>奇想三十六計套書2</t>
  </si>
  <si>
    <t>奇想三十六計套書3</t>
  </si>
  <si>
    <t>小熊兄妹的點子屋1：點子屋新開張</t>
    <phoneticPr fontId="1" type="noConversion"/>
  </si>
  <si>
    <t>小熊兄妹的點子屋2：不能說的三句話</t>
    <phoneticPr fontId="1" type="noConversion"/>
  </si>
  <si>
    <t>家守神1：暗藏神祕的百年之屋</t>
    <phoneticPr fontId="1" type="noConversion"/>
  </si>
  <si>
    <t>妙妙喵圖解生活科學3：神奇測謊機</t>
    <phoneticPr fontId="1" type="noConversion"/>
  </si>
  <si>
    <t>君偉的節日報告</t>
    <phoneticPr fontId="1" type="noConversion"/>
  </si>
  <si>
    <t>暴龍時光機</t>
    <phoneticPr fontId="1" type="noConversion"/>
  </si>
  <si>
    <t>小兒子1：爸爸是夜晚暴食龍</t>
    <phoneticPr fontId="1" type="noConversion"/>
  </si>
  <si>
    <t>怪傑左羅力46</t>
    <phoneticPr fontId="1" type="noConversion"/>
  </si>
  <si>
    <t>怪傑左羅力47</t>
  </si>
  <si>
    <t>怪傑左羅力48</t>
  </si>
  <si>
    <t>怪傑左羅力49</t>
  </si>
  <si>
    <t>怪傑左羅力50</t>
  </si>
  <si>
    <t>怪傑左羅力45</t>
  </si>
  <si>
    <t>怪傑左羅力42</t>
  </si>
  <si>
    <t>怪傑左羅力43</t>
  </si>
  <si>
    <t>怪傑左羅力44</t>
  </si>
  <si>
    <t>怪傑左羅力40</t>
  </si>
  <si>
    <t>怪傑左羅力41</t>
  </si>
  <si>
    <t>怪傑左羅力38</t>
  </si>
  <si>
    <t>怪傑左羅力39</t>
  </si>
  <si>
    <t>怪傑左羅力37</t>
  </si>
  <si>
    <t>怪傑左羅力36</t>
  </si>
  <si>
    <t>怪傑左羅力30</t>
  </si>
  <si>
    <t>怪傑左羅力31</t>
  </si>
  <si>
    <t>怪傑左羅力32</t>
  </si>
  <si>
    <t>怪傑左羅力33</t>
  </si>
  <si>
    <t>怪傑左羅力34</t>
  </si>
  <si>
    <t>怪傑左羅力35</t>
  </si>
  <si>
    <t>怪傑左羅力22</t>
  </si>
  <si>
    <t>怪傑左羅力23</t>
  </si>
  <si>
    <t>怪傑左羅力24</t>
  </si>
  <si>
    <t>怪傑左羅力25</t>
  </si>
  <si>
    <t>怪傑左羅力26</t>
  </si>
  <si>
    <t>怪傑左羅力27</t>
  </si>
  <si>
    <t>怪傑左羅力28</t>
  </si>
  <si>
    <t>怪傑左羅力29</t>
  </si>
  <si>
    <t>怪傑左羅力6</t>
  </si>
  <si>
    <t>怪傑左羅力7</t>
  </si>
  <si>
    <t>怪傑左羅力8</t>
  </si>
  <si>
    <t>怪傑左羅力9</t>
  </si>
  <si>
    <t>怪傑左羅力10</t>
  </si>
  <si>
    <t>怪傑左羅力11</t>
  </si>
  <si>
    <t>怪傑左羅力12</t>
  </si>
  <si>
    <t>怪傑左羅力13</t>
  </si>
  <si>
    <t>怪傑左羅力14</t>
  </si>
  <si>
    <t>怪傑左羅力15</t>
  </si>
  <si>
    <t>怪傑左羅力16</t>
  </si>
  <si>
    <t>怪傑左羅力17</t>
  </si>
  <si>
    <t>怪傑左羅力18</t>
  </si>
  <si>
    <t>怪傑左羅力19</t>
  </si>
  <si>
    <t>怪傑左羅力20</t>
  </si>
  <si>
    <t>怪傑左羅力21</t>
  </si>
  <si>
    <t>一個傻蛋賣香屁</t>
    <phoneticPr fontId="1" type="noConversion"/>
  </si>
  <si>
    <t>君偉上小學1</t>
    <phoneticPr fontId="1" type="noConversion"/>
  </si>
  <si>
    <t>君偉上小學2</t>
  </si>
  <si>
    <t>君偉上小學3</t>
  </si>
  <si>
    <t>君偉上小學4</t>
  </si>
  <si>
    <t>君偉上小學5</t>
  </si>
  <si>
    <t>君偉上小學6</t>
  </si>
  <si>
    <t>爆笑小火龍套書1</t>
    <phoneticPr fontId="1" type="noConversion"/>
  </si>
  <si>
    <t>爆笑小火龍套書2</t>
  </si>
  <si>
    <t>爆笑小火龍套書3</t>
  </si>
  <si>
    <t>爆笑小火龍套書4</t>
  </si>
  <si>
    <t>爆笑小火龍套書5</t>
  </si>
  <si>
    <t>爆笑小火龍套書6</t>
  </si>
  <si>
    <t>爆笑小火龍套書7</t>
  </si>
  <si>
    <t>已閱</t>
    <phoneticPr fontId="1" type="noConversion"/>
  </si>
  <si>
    <t>V</t>
    <phoneticPr fontId="1" type="noConversion"/>
  </si>
  <si>
    <t>成本</t>
    <phoneticPr fontId="1" type="noConversion"/>
  </si>
  <si>
    <t>怪傑左羅力1</t>
  </si>
  <si>
    <t>怪傑左羅力2</t>
  </si>
  <si>
    <t>怪傑左羅力3</t>
  </si>
  <si>
    <t>怪傑左羅力4</t>
  </si>
  <si>
    <t>怪傑左羅力5</t>
  </si>
  <si>
    <t>MOMO</t>
    <phoneticPr fontId="1" type="noConversion"/>
  </si>
  <si>
    <t>FB</t>
    <phoneticPr fontId="1" type="noConversion"/>
  </si>
  <si>
    <t>閱讀日</t>
    <phoneticPr fontId="1" type="noConversion"/>
  </si>
  <si>
    <t>采實</t>
    <phoneticPr fontId="1" type="noConversion"/>
  </si>
  <si>
    <t>生活素養小學堂1</t>
    <phoneticPr fontId="1" type="noConversion"/>
  </si>
  <si>
    <t>生活素養小學堂2</t>
  </si>
  <si>
    <t>生活素養小學堂3</t>
  </si>
  <si>
    <t>生活素養小學堂4</t>
  </si>
  <si>
    <t>小學生的腦科學漫畫-人類探索研究小隊1</t>
    <phoneticPr fontId="1" type="noConversion"/>
  </si>
  <si>
    <t>小學生的腦科學漫畫-人類探索研究小隊2</t>
  </si>
  <si>
    <t>華王</t>
    <phoneticPr fontId="1" type="noConversion"/>
  </si>
  <si>
    <t>爆笑科學王1</t>
    <phoneticPr fontId="1" type="noConversion"/>
  </si>
  <si>
    <t>爆笑科學王2</t>
  </si>
  <si>
    <t>爆笑科學王3</t>
  </si>
  <si>
    <t>爆笑科學王4</t>
  </si>
  <si>
    <t>爆笑科學王5</t>
  </si>
  <si>
    <t>爆笑科學王6</t>
  </si>
  <si>
    <t>爆笑科學王7</t>
  </si>
  <si>
    <t>爆笑科學王8</t>
  </si>
  <si>
    <t>爆笑科學王9</t>
  </si>
  <si>
    <t>爆笑科學王10</t>
  </si>
  <si>
    <t>爆笑科學王11</t>
  </si>
  <si>
    <t>爆笑科學王12</t>
  </si>
  <si>
    <t>爆笑科學王13</t>
  </si>
  <si>
    <t>爆笑科學王14</t>
  </si>
  <si>
    <t>爆笑科學王15</t>
  </si>
  <si>
    <t>工作細胞繪本1</t>
    <phoneticPr fontId="1" type="noConversion"/>
  </si>
  <si>
    <t>工作細胞繪本2</t>
  </si>
  <si>
    <t>工作細胞繪本3</t>
  </si>
  <si>
    <t>工作細胞繪本4</t>
  </si>
  <si>
    <t>工作細胞繪本5</t>
  </si>
  <si>
    <t>小熊</t>
    <phoneticPr fontId="1" type="noConversion"/>
  </si>
  <si>
    <t>木馬文化</t>
    <phoneticPr fontId="1" type="noConversion"/>
  </si>
  <si>
    <t>荒島食驗家1-過貓泡麵</t>
    <phoneticPr fontId="1" type="noConversion"/>
  </si>
  <si>
    <t>荒島食驗家2-野薑花煮魚</t>
    <phoneticPr fontId="1" type="noConversion"/>
  </si>
  <si>
    <t>荒島食驗家3-檸檬牡蠣炊飯</t>
    <phoneticPr fontId="1" type="noConversion"/>
  </si>
  <si>
    <t>妙妙喵圖解生活科學2：超能微波爐</t>
    <phoneticPr fontId="1" type="noConversion"/>
  </si>
  <si>
    <t>博客來</t>
    <phoneticPr fontId="1" type="noConversion"/>
  </si>
  <si>
    <t>小天下</t>
    <phoneticPr fontId="1" type="noConversion"/>
  </si>
  <si>
    <t>小小科學人：100人體大發現</t>
    <phoneticPr fontId="1" type="noConversion"/>
  </si>
  <si>
    <t>小小科學人：100食物大發現</t>
    <phoneticPr fontId="1" type="noConversion"/>
  </si>
  <si>
    <t>國語日報</t>
    <phoneticPr fontId="1" type="noConversion"/>
  </si>
  <si>
    <t>三字經小學堂1：古人也有煩惱嗎？</t>
    <phoneticPr fontId="1" type="noConversion"/>
  </si>
  <si>
    <t>三字經小學堂2：古人也有煩惱嗎？</t>
  </si>
  <si>
    <t>三字經小學堂3：古人也有煩惱嗎？</t>
  </si>
  <si>
    <t>小兵</t>
    <phoneticPr fontId="1" type="noConversion"/>
  </si>
  <si>
    <t>香腸班長妙老師1</t>
    <phoneticPr fontId="1" type="noConversion"/>
  </si>
  <si>
    <t>香腸班長妙老師2</t>
  </si>
  <si>
    <t>香腸班長妙老師3</t>
  </si>
  <si>
    <t>香腸班長妙老師4</t>
  </si>
  <si>
    <t>小四愛作怪1</t>
    <phoneticPr fontId="1" type="noConversion"/>
  </si>
  <si>
    <t>小四愛作怪2</t>
  </si>
  <si>
    <t>小四愛作怪3</t>
  </si>
  <si>
    <t>小四愛作怪4</t>
  </si>
  <si>
    <t>小四愛作怪5</t>
  </si>
  <si>
    <t>小四愛作怪6</t>
  </si>
  <si>
    <t>草莓心事三部曲1</t>
    <phoneticPr fontId="1" type="noConversion"/>
  </si>
  <si>
    <t>草莓心事三部曲2</t>
  </si>
  <si>
    <t>草莓心事三部曲3</t>
  </si>
  <si>
    <t>團書</t>
    <phoneticPr fontId="1" type="noConversion"/>
  </si>
  <si>
    <t>小樹</t>
    <phoneticPr fontId="1" type="noConversion"/>
  </si>
  <si>
    <t>大豐國小族球隊1</t>
    <phoneticPr fontId="1" type="noConversion"/>
  </si>
  <si>
    <t>萌漫大話成語王1</t>
    <phoneticPr fontId="1" type="noConversion"/>
  </si>
  <si>
    <t>穿越古代當神探1</t>
    <phoneticPr fontId="1" type="noConversion"/>
  </si>
  <si>
    <t>穿越古代當神探2</t>
  </si>
  <si>
    <t>穿越古代當神探3</t>
  </si>
  <si>
    <t>穿越古代當神探4</t>
  </si>
  <si>
    <t>野人</t>
    <phoneticPr fontId="1" type="noConversion"/>
  </si>
  <si>
    <t>時報</t>
    <phoneticPr fontId="1" type="noConversion"/>
  </si>
  <si>
    <t>小王子立體書</t>
    <phoneticPr fontId="1" type="noConversion"/>
  </si>
  <si>
    <t>法布爾昆蟲記立體書</t>
    <phoneticPr fontId="1" type="noConversion"/>
  </si>
  <si>
    <t>東雨</t>
    <phoneticPr fontId="1" type="noConversion"/>
  </si>
  <si>
    <t>口袋神探-尖端科技篇3</t>
    <phoneticPr fontId="1" type="noConversion"/>
  </si>
  <si>
    <t>綠野仙蹤1-神秘的魔法師</t>
    <phoneticPr fontId="1" type="noConversion"/>
  </si>
  <si>
    <t>公平？不公平？教你獨立思考，如何判斷！</t>
    <phoneticPr fontId="1" type="noConversion"/>
  </si>
  <si>
    <t>三分天下、十分搞笑的三國演義1</t>
    <phoneticPr fontId="1" type="noConversion"/>
  </si>
  <si>
    <t>三分天下、十分搞笑的三國演義2</t>
  </si>
  <si>
    <t>臭屁實習偵探1</t>
    <phoneticPr fontId="1" type="noConversion"/>
  </si>
  <si>
    <t>臭屁實習偵探2</t>
  </si>
  <si>
    <t>臭屁實習偵探3</t>
  </si>
  <si>
    <t>歷史人物在我們班1</t>
    <phoneticPr fontId="1" type="noConversion"/>
  </si>
  <si>
    <t>歷史人物在我們班2</t>
  </si>
  <si>
    <t>歷史人物在我們班3</t>
  </si>
  <si>
    <t>歷史人物在我們班4</t>
  </si>
  <si>
    <t>歷史人物在我們班5</t>
  </si>
  <si>
    <t>7歲名偵探-小福爾摩斯1-遊樂園有鬼</t>
    <phoneticPr fontId="1" type="noConversion"/>
  </si>
  <si>
    <t>三采</t>
    <phoneticPr fontId="1" type="noConversion"/>
  </si>
  <si>
    <t>達克比辦案1</t>
    <phoneticPr fontId="1" type="noConversion"/>
  </si>
  <si>
    <t>達克比辦案2</t>
  </si>
  <si>
    <t>達克比辦案3</t>
  </si>
  <si>
    <t>達克比辦案4</t>
  </si>
  <si>
    <t>達克比辦案5</t>
  </si>
  <si>
    <t>微生物的小秘密1</t>
    <phoneticPr fontId="1" type="noConversion"/>
  </si>
  <si>
    <t>微生物的小秘密2</t>
  </si>
  <si>
    <t>微生物的小秘密3</t>
  </si>
  <si>
    <t>微生物的小秘密4</t>
  </si>
  <si>
    <t>遠流</t>
    <phoneticPr fontId="1" type="noConversion"/>
  </si>
  <si>
    <t>天生就是超級咖-我很奇怪但很可愛2</t>
    <phoneticPr fontId="1" type="noConversion"/>
  </si>
  <si>
    <t>好聰明漫畫醫學：生病了該怎麼辦？</t>
    <phoneticPr fontId="1" type="noConversion"/>
  </si>
  <si>
    <t>漫書台灣故事1</t>
    <phoneticPr fontId="1" type="noConversion"/>
  </si>
  <si>
    <t>漫書台灣故事2</t>
  </si>
  <si>
    <t>漫書台灣故事3</t>
  </si>
  <si>
    <t>漫書台灣故事4</t>
  </si>
  <si>
    <t>漫書台灣故事5</t>
  </si>
  <si>
    <t>漫書台灣故事6</t>
  </si>
  <si>
    <t>漫書台灣故事7</t>
  </si>
  <si>
    <t>漫書台灣故事8</t>
  </si>
  <si>
    <t>漫書台灣故事9</t>
  </si>
  <si>
    <t>漫書台灣故事10</t>
  </si>
  <si>
    <t>漫書台灣故事11</t>
  </si>
  <si>
    <t>漫書台灣故事12</t>
  </si>
  <si>
    <t>巴冷公主要嫁蛇王子(臺灣原生動物說故事1)</t>
    <phoneticPr fontId="1" type="noConversion"/>
  </si>
  <si>
    <t>魔法獠牙俠(臺灣原生動物說故事2)</t>
    <phoneticPr fontId="1" type="noConversion"/>
  </si>
  <si>
    <t>好好笑漫畫數學：買賣大作</t>
    <phoneticPr fontId="1" type="noConversion"/>
  </si>
  <si>
    <t>好好笑漫畫數學：生活數字王</t>
    <phoneticPr fontId="1" type="noConversion"/>
  </si>
  <si>
    <t>好聰明漫畫醫學：原來身體這樣運作</t>
    <phoneticPr fontId="1" type="noConversion"/>
  </si>
  <si>
    <t>給小學生的環境自然課</t>
    <phoneticPr fontId="1" type="noConversion"/>
  </si>
  <si>
    <t>情緒遊樂園</t>
    <phoneticPr fontId="1" type="noConversion"/>
  </si>
  <si>
    <t>神探邁克狐1</t>
    <phoneticPr fontId="1" type="noConversion"/>
  </si>
  <si>
    <t>神探邁克狐2</t>
  </si>
  <si>
    <t>神探邁克狐3</t>
  </si>
  <si>
    <t>神探邁克狐4</t>
  </si>
  <si>
    <t>神探邁克狐5</t>
  </si>
  <si>
    <t>神探邁克狐6</t>
  </si>
  <si>
    <t>晴好</t>
    <phoneticPr fontId="1" type="noConversion"/>
  </si>
  <si>
    <t>半神鈴音丸1</t>
    <phoneticPr fontId="1" type="noConversion"/>
  </si>
  <si>
    <t>半神鈴音丸2</t>
  </si>
  <si>
    <t>半神鈴音丸3</t>
  </si>
  <si>
    <t>半神鈴音丸4</t>
  </si>
  <si>
    <t>半神鈴音丸5</t>
  </si>
  <si>
    <t>半神鈴音丸6</t>
  </si>
  <si>
    <t>半神鈴音丸7</t>
  </si>
  <si>
    <t>汽水偵探1</t>
    <phoneticPr fontId="1" type="noConversion"/>
  </si>
  <si>
    <t>汽水偵探2</t>
  </si>
  <si>
    <t>汽水偵探3</t>
  </si>
  <si>
    <t>汽水偵探4</t>
  </si>
  <si>
    <t>汽水偵探5</t>
  </si>
  <si>
    <t>吵架了怎麼和好</t>
    <phoneticPr fontId="1" type="noConversion"/>
  </si>
  <si>
    <t>操場底下的100層樓學校1</t>
    <phoneticPr fontId="1" type="noConversion"/>
  </si>
  <si>
    <t>操場底下的100層樓學校2</t>
  </si>
  <si>
    <t>操場底下的100層樓學校3</t>
  </si>
  <si>
    <t>操場底下的100層樓學校4</t>
  </si>
  <si>
    <t>地獄小學1</t>
    <phoneticPr fontId="1" type="noConversion"/>
  </si>
  <si>
    <t>地獄小學2</t>
  </si>
  <si>
    <t>說給兒童的臺灣歷史書</t>
    <phoneticPr fontId="1" type="noConversion"/>
  </si>
  <si>
    <t>天衛</t>
    <phoneticPr fontId="1" type="noConversion"/>
  </si>
  <si>
    <t>未來</t>
    <phoneticPr fontId="1" type="noConversion"/>
  </si>
  <si>
    <t>小宇宙</t>
    <phoneticPr fontId="1" type="noConversion"/>
  </si>
  <si>
    <t>其他</t>
    <phoneticPr fontId="1" type="noConversion"/>
  </si>
  <si>
    <t>奇想西遊記1</t>
    <phoneticPr fontId="1" type="noConversion"/>
  </si>
  <si>
    <t>奇想西遊記2</t>
  </si>
  <si>
    <t>奇想西遊記3</t>
  </si>
  <si>
    <t>雙11</t>
    <phoneticPr fontId="1" type="noConversion"/>
  </si>
  <si>
    <t>小妖怪1</t>
    <phoneticPr fontId="1" type="noConversion"/>
  </si>
  <si>
    <t>小妖怪2</t>
  </si>
  <si>
    <t>小妖怪3</t>
  </si>
  <si>
    <t>小妖怪4</t>
  </si>
  <si>
    <t>小妖怪5</t>
  </si>
  <si>
    <t>小妖怪6</t>
  </si>
  <si>
    <t>小妖怪7</t>
  </si>
  <si>
    <t>小妖怪8</t>
  </si>
  <si>
    <t>小妖怪9</t>
  </si>
  <si>
    <t>小妖怪10</t>
  </si>
  <si>
    <t>小妖怪11</t>
  </si>
  <si>
    <t>小妖怪12</t>
  </si>
  <si>
    <t>小妖怪13</t>
  </si>
  <si>
    <t>小妖怪14</t>
  </si>
  <si>
    <t>小妖怪15</t>
  </si>
  <si>
    <t>小妖怪16</t>
  </si>
  <si>
    <t>小妖怪17</t>
  </si>
  <si>
    <t>小妖怪18</t>
  </si>
  <si>
    <t>小妖怪19</t>
  </si>
  <si>
    <t>小妖怪20</t>
  </si>
  <si>
    <t>小妖怪21</t>
  </si>
  <si>
    <t>小妖怪22</t>
  </si>
  <si>
    <t>小妖怪23</t>
  </si>
  <si>
    <t>小妖怪24</t>
  </si>
  <si>
    <t>小妖怪25</t>
  </si>
  <si>
    <t>小妖怪26</t>
  </si>
  <si>
    <t>小妖怪27</t>
  </si>
  <si>
    <t>小妖怪28</t>
  </si>
  <si>
    <t>小妖怪29</t>
  </si>
  <si>
    <t>小妖怪30</t>
  </si>
  <si>
    <t>五南</t>
    <phoneticPr fontId="1" type="noConversion"/>
  </si>
  <si>
    <t>一起開口說唐詩(上)</t>
    <phoneticPr fontId="1" type="noConversion"/>
  </si>
  <si>
    <t>一起開口說唐詩(下)</t>
    <phoneticPr fontId="1" type="noConversion"/>
  </si>
  <si>
    <t>折價券25</t>
    <phoneticPr fontId="1" type="noConversion"/>
  </si>
  <si>
    <t>有點數每本折10元，未扣</t>
  </si>
  <si>
    <t>有點數每本折10元，未扣</t>
    <phoneticPr fontId="1" type="noConversion"/>
  </si>
  <si>
    <t>褲子小偷1</t>
    <phoneticPr fontId="1" type="noConversion"/>
  </si>
  <si>
    <t>褲子小偷2</t>
  </si>
  <si>
    <t>天才麵包理髮師1</t>
    <phoneticPr fontId="1" type="noConversion"/>
  </si>
  <si>
    <t>天才麵包理髮師2</t>
  </si>
  <si>
    <t>天才麵包理髮師3</t>
  </si>
  <si>
    <t>天才麵包理髮師4</t>
  </si>
  <si>
    <t>天才麵包理髮師5</t>
  </si>
  <si>
    <t>普通兄妹的秘密日記1</t>
    <phoneticPr fontId="1" type="noConversion"/>
  </si>
  <si>
    <t>普通兄妹的秘密日記2</t>
  </si>
  <si>
    <t>普通兄妹的秘密日記3</t>
  </si>
  <si>
    <t>普通兄妹的密室逃脫任務1</t>
    <phoneticPr fontId="1" type="noConversion"/>
  </si>
  <si>
    <t>普通兄妹的密室逃脫任務2</t>
  </si>
  <si>
    <t>天才圍棋王1</t>
    <phoneticPr fontId="1" type="noConversion"/>
  </si>
  <si>
    <t>科學天才小偵探1</t>
    <phoneticPr fontId="1" type="noConversion"/>
  </si>
  <si>
    <t>科學天才小偵探2</t>
  </si>
  <si>
    <t>科學天才小偵探3</t>
  </si>
  <si>
    <t>科學天才小偵探4</t>
  </si>
  <si>
    <t>科學天才小偵探5</t>
  </si>
  <si>
    <t>小光點</t>
    <phoneticPr fontId="1" type="noConversion"/>
  </si>
  <si>
    <t>屁屁丹迪1</t>
    <phoneticPr fontId="1" type="noConversion"/>
  </si>
  <si>
    <t>屁屁丹迪2</t>
  </si>
  <si>
    <t>屁屁丹迪3</t>
  </si>
  <si>
    <t>屁屁丹迪4</t>
  </si>
  <si>
    <t>屁屁丹迪5</t>
  </si>
  <si>
    <t>屁屁丹迪6</t>
  </si>
  <si>
    <t>山雨小學2：生氣王子番外篇</t>
    <phoneticPr fontId="1" type="noConversion"/>
  </si>
  <si>
    <t>山雨小學1：愛哭公主番外篇</t>
    <phoneticPr fontId="1" type="noConversion"/>
  </si>
  <si>
    <t>南門</t>
    <phoneticPr fontId="1" type="noConversion"/>
  </si>
  <si>
    <t>西遊記1</t>
    <phoneticPr fontId="1" type="noConversion"/>
  </si>
  <si>
    <t>西遊記2</t>
  </si>
  <si>
    <t>中國孩子故事100本</t>
    <phoneticPr fontId="1" type="noConversion"/>
  </si>
  <si>
    <t>屁屁偵探1</t>
    <phoneticPr fontId="1" type="noConversion"/>
  </si>
  <si>
    <t>屁屁偵探2</t>
  </si>
  <si>
    <t>屁屁偵探3</t>
  </si>
  <si>
    <t>屁屁偵探4</t>
  </si>
  <si>
    <t>屁屁偵探5</t>
  </si>
  <si>
    <t>屁屁偵探6</t>
  </si>
  <si>
    <t>屁屁偵探7</t>
  </si>
  <si>
    <t>屁屁偵探8</t>
  </si>
  <si>
    <t>屁屁偵探9</t>
  </si>
  <si>
    <t>屁屁偵探10</t>
  </si>
  <si>
    <t>愛思考的貓巧可1</t>
    <phoneticPr fontId="1" type="noConversion"/>
  </si>
  <si>
    <t>愛思考的貓巧可2</t>
  </si>
  <si>
    <t>愛思考的貓巧可3</t>
  </si>
  <si>
    <t>愛思考的貓巧可4</t>
  </si>
  <si>
    <t>愛思考的貓巧可5</t>
  </si>
  <si>
    <t>誠品</t>
    <phoneticPr fontId="1" type="noConversion"/>
  </si>
  <si>
    <t>屁屁丹迪7</t>
  </si>
  <si>
    <t>閱讀啟蒙橋樑書15本</t>
    <phoneticPr fontId="1" type="noConversion"/>
  </si>
  <si>
    <t>狐狸一族心探險套書1</t>
    <phoneticPr fontId="1" type="noConversion"/>
  </si>
  <si>
    <t>狐狸一族心探險套書2</t>
  </si>
  <si>
    <t>狐狸一族心探險套書3</t>
  </si>
  <si>
    <t>字的傳奇1</t>
    <phoneticPr fontId="1" type="noConversion"/>
  </si>
  <si>
    <t>字的傳奇2</t>
  </si>
  <si>
    <t>字的傳奇3</t>
  </si>
  <si>
    <t>字的傳奇4</t>
  </si>
  <si>
    <t>字的傳奇5</t>
  </si>
  <si>
    <t>我家套書1-我家有個遊樂園</t>
    <phoneticPr fontId="1" type="noConversion"/>
  </si>
  <si>
    <t>我家套書2-我家有個花果菜園</t>
    <phoneticPr fontId="1" type="noConversion"/>
  </si>
  <si>
    <t>我家套書4-我家蓋了新房子</t>
    <phoneticPr fontId="1" type="noConversion"/>
  </si>
  <si>
    <t>我家套書5-我家的美味時間</t>
    <phoneticPr fontId="1" type="noConversion"/>
  </si>
  <si>
    <t>奇想西遊記4</t>
  </si>
  <si>
    <t>安心國小1</t>
    <phoneticPr fontId="1" type="noConversion"/>
  </si>
  <si>
    <t>安心國小2</t>
    <phoneticPr fontId="1" type="noConversion"/>
  </si>
  <si>
    <t>安心國小3</t>
    <phoneticPr fontId="1" type="noConversion"/>
  </si>
  <si>
    <t>安心國小4</t>
    <phoneticPr fontId="1" type="noConversion"/>
  </si>
  <si>
    <t>安心國小5</t>
    <phoneticPr fontId="1" type="noConversion"/>
  </si>
  <si>
    <t>安心國小6</t>
    <phoneticPr fontId="1" type="noConversion"/>
  </si>
  <si>
    <t>安心國小7</t>
    <phoneticPr fontId="1" type="noConversion"/>
  </si>
  <si>
    <t>安心國小8</t>
    <phoneticPr fontId="1" type="noConversion"/>
  </si>
  <si>
    <t>安心國小9</t>
    <phoneticPr fontId="1" type="noConversion"/>
  </si>
  <si>
    <t>安心國小10</t>
    <phoneticPr fontId="1" type="noConversion"/>
  </si>
  <si>
    <t>安心國小11</t>
    <phoneticPr fontId="1" type="noConversion"/>
  </si>
  <si>
    <t>安心國小12</t>
    <phoneticPr fontId="1" type="noConversion"/>
  </si>
  <si>
    <t>小熊兄妹的點子屋3：超愛睏魔咒大作戰</t>
    <phoneticPr fontId="1" type="noConversion"/>
  </si>
  <si>
    <t>列標籤</t>
  </si>
  <si>
    <t>三采</t>
  </si>
  <si>
    <t>小天下</t>
  </si>
  <si>
    <t>小光點</t>
  </si>
  <si>
    <t>小宇宙</t>
  </si>
  <si>
    <t>小兵</t>
  </si>
  <si>
    <t>小熊</t>
  </si>
  <si>
    <t>小樹</t>
  </si>
  <si>
    <t>五南</t>
  </si>
  <si>
    <t>天衛</t>
  </si>
  <si>
    <t>木馬文化</t>
  </si>
  <si>
    <t>未來</t>
  </si>
  <si>
    <t>東雨</t>
  </si>
  <si>
    <t>采實</t>
  </si>
  <si>
    <t>南門</t>
  </si>
  <si>
    <t>時報</t>
  </si>
  <si>
    <t>國語日報</t>
  </si>
  <si>
    <t>野人</t>
  </si>
  <si>
    <t>晴好</t>
  </si>
  <si>
    <t>華王</t>
  </si>
  <si>
    <t>遠流</t>
  </si>
  <si>
    <t>親子天下</t>
  </si>
  <si>
    <t>總計</t>
  </si>
  <si>
    <t>加總 - 買入價</t>
  </si>
  <si>
    <t>V</t>
    <phoneticPr fontId="1" type="noConversion"/>
  </si>
  <si>
    <t>V</t>
    <phoneticPr fontId="1" type="noConversion"/>
  </si>
  <si>
    <t>三采</t>
    <phoneticPr fontId="1" type="noConversion"/>
  </si>
  <si>
    <t>尋寶記1</t>
    <phoneticPr fontId="1" type="noConversion"/>
  </si>
  <si>
    <t>尋寶記2</t>
  </si>
  <si>
    <t>尋寶記3</t>
  </si>
  <si>
    <t>尋寶記4</t>
  </si>
  <si>
    <t>尋寶記7</t>
  </si>
  <si>
    <t>尋寶記8</t>
  </si>
  <si>
    <t>尋寶記9</t>
  </si>
  <si>
    <t>尋寶記10</t>
  </si>
  <si>
    <t>尋寶記11</t>
  </si>
  <si>
    <t>尋寶記12</t>
  </si>
  <si>
    <t>尋寶記13</t>
  </si>
  <si>
    <t>尋寶記14</t>
  </si>
  <si>
    <t>尋寶記15</t>
  </si>
  <si>
    <t>尋寶記16</t>
  </si>
  <si>
    <t>尋寶記17</t>
  </si>
  <si>
    <t>尋寶記18</t>
  </si>
  <si>
    <t>尋寶記19</t>
  </si>
  <si>
    <t>尋寶記20</t>
  </si>
  <si>
    <t>尋寶記21</t>
  </si>
  <si>
    <t>尋寶記22</t>
  </si>
  <si>
    <t>尋寶記23</t>
  </si>
  <si>
    <t>尋寶記24</t>
  </si>
  <si>
    <t>尋寶記25</t>
  </si>
  <si>
    <t>尋寶記26</t>
  </si>
  <si>
    <t>尋寶記27</t>
  </si>
  <si>
    <t>尋寶記28</t>
  </si>
  <si>
    <t>尋寶記29</t>
  </si>
  <si>
    <t>尋寶記30</t>
  </si>
  <si>
    <t>尋寶記31</t>
  </si>
  <si>
    <t>尋寶記32</t>
  </si>
  <si>
    <t>尋寶記33</t>
  </si>
  <si>
    <t>尋寶記34</t>
  </si>
  <si>
    <t>尋寶記35</t>
  </si>
  <si>
    <t>雙11</t>
  </si>
  <si>
    <t>雙11</t>
    <phoneticPr fontId="1" type="noConversion"/>
  </si>
  <si>
    <t>科學實驗王9</t>
  </si>
  <si>
    <t>科學實驗王10</t>
  </si>
  <si>
    <t>科學實驗王11</t>
  </si>
  <si>
    <t>科學實驗王12</t>
  </si>
  <si>
    <t>科學實驗王13</t>
  </si>
  <si>
    <t>科學實驗王14</t>
  </si>
  <si>
    <t>科學實驗王15</t>
  </si>
  <si>
    <t>科學實驗王16</t>
  </si>
  <si>
    <t>科學實驗王17</t>
  </si>
  <si>
    <t>科學實驗王18</t>
  </si>
  <si>
    <t>科學實驗王19</t>
  </si>
  <si>
    <t>科學實驗王20</t>
  </si>
  <si>
    <t>希臘羅馬神話1</t>
    <phoneticPr fontId="1" type="noConversion"/>
  </si>
  <si>
    <t>希臘羅馬神話2</t>
  </si>
  <si>
    <t>希臘羅馬神話3</t>
  </si>
  <si>
    <t>希臘羅馬神話4</t>
  </si>
  <si>
    <t>希臘羅馬神話5</t>
  </si>
  <si>
    <t>希臘羅馬神話6</t>
  </si>
  <si>
    <t>希臘羅馬神話7</t>
  </si>
  <si>
    <t>希臘羅馬神話8</t>
  </si>
  <si>
    <t>希臘羅馬神話9</t>
  </si>
  <si>
    <t>希臘羅馬神話10</t>
  </si>
  <si>
    <t>工作細胞繪本6</t>
    <phoneticPr fontId="1" type="noConversion"/>
  </si>
  <si>
    <t>尋寶記5</t>
    <phoneticPr fontId="1" type="noConversion"/>
  </si>
  <si>
    <t>尋寶記6-美國</t>
    <phoneticPr fontId="1" type="noConversion"/>
  </si>
  <si>
    <t>V</t>
    <phoneticPr fontId="1" type="noConversion"/>
  </si>
  <si>
    <t>V</t>
    <phoneticPr fontId="1" type="noConversion"/>
  </si>
  <si>
    <t>穿越驚奇圖書館1：被封印的格林兄弟</t>
    <phoneticPr fontId="1" type="noConversion"/>
  </si>
  <si>
    <t>妙妙喵圖解生活科學1：消失的便便</t>
    <phoneticPr fontId="1" type="noConversion"/>
  </si>
  <si>
    <t>君偉的怪奇報告</t>
    <phoneticPr fontId="1" type="noConversion"/>
  </si>
  <si>
    <t>妙妙喵圖解生活科學4：閃電避雷針</t>
    <phoneticPr fontId="1" type="noConversion"/>
  </si>
  <si>
    <t>學校沒教的心理課：自我成長篇—穩定情緒、突破盲點，華麗變身人氣王</t>
    <phoneticPr fontId="1" type="noConversion"/>
  </si>
  <si>
    <t>加總 - 成本</t>
  </si>
  <si>
    <t>(多重項目)</t>
  </si>
  <si>
    <t>加總 - 售出價</t>
  </si>
  <si>
    <t>售出價</t>
  </si>
  <si>
    <t>小角落文化</t>
  </si>
  <si>
    <t>小角落文化</t>
    <phoneticPr fontId="1" type="noConversion"/>
  </si>
  <si>
    <t>漫畫版名人傳 奠定AI基礎的天才數學家—艾倫.圖靈</t>
    <phoneticPr fontId="1" type="noConversion"/>
  </si>
  <si>
    <t>已讀數量</t>
    <phoneticPr fontId="1" type="noConversion"/>
  </si>
  <si>
    <t>加總 - 已讀數量</t>
  </si>
  <si>
    <t>已讀</t>
  </si>
  <si>
    <t>已售出</t>
    <phoneticPr fontId="1" type="noConversion"/>
  </si>
  <si>
    <t>V</t>
    <phoneticPr fontId="1" type="noConversion"/>
  </si>
  <si>
    <t>書籍數</t>
    <phoneticPr fontId="1" type="noConversion"/>
  </si>
  <si>
    <t>加總 - 書籍數</t>
  </si>
  <si>
    <t>V</t>
    <phoneticPr fontId="1" type="noConversion"/>
  </si>
  <si>
    <t>爆笑科學王16</t>
  </si>
  <si>
    <t>爆笑科學王17</t>
  </si>
  <si>
    <t>V</t>
    <phoneticPr fontId="1" type="noConversion"/>
  </si>
  <si>
    <t>V</t>
    <phoneticPr fontId="1" type="noConversion"/>
  </si>
  <si>
    <t>步步</t>
  </si>
  <si>
    <t>步步</t>
    <phoneticPr fontId="1" type="noConversion"/>
  </si>
  <si>
    <t>三隻小鼴鼠：夏日森林套書&lt;螢光山林&gt;</t>
    <phoneticPr fontId="1" type="noConversion"/>
  </si>
  <si>
    <t>三隻小鼴鼠：夏日森林套書&lt;蟬鳴聲林&gt;</t>
    <phoneticPr fontId="1" type="noConversion"/>
  </si>
  <si>
    <t>三隻小鼴鼠：夏日森林套書&lt;真菌森林&gt;</t>
    <phoneticPr fontId="1" type="noConversion"/>
  </si>
  <si>
    <t>V</t>
    <phoneticPr fontId="1" type="noConversion"/>
  </si>
  <si>
    <t>V</t>
    <phoneticPr fontId="1" type="noConversion"/>
  </si>
  <si>
    <t>無敵姊弟科學大冒險(1)：樂器倉庫的祕密</t>
    <phoneticPr fontId="1" type="noConversion"/>
  </si>
  <si>
    <t>V</t>
    <phoneticPr fontId="1" type="noConversion"/>
  </si>
  <si>
    <t>漫畫版名人傳 諾貝爾—寄託和平與未來於獎項</t>
    <phoneticPr fontId="1" type="noConversion"/>
  </si>
  <si>
    <t>V</t>
    <phoneticPr fontId="1" type="noConversion"/>
  </si>
  <si>
    <t>V</t>
    <phoneticPr fontId="1" type="noConversion"/>
  </si>
  <si>
    <t>科學實驗王3-光的折射與反射</t>
    <phoneticPr fontId="1" type="noConversion"/>
  </si>
  <si>
    <t>科學實驗王2-牛頓運動定律</t>
    <phoneticPr fontId="1" type="noConversion"/>
  </si>
  <si>
    <t>科學實驗王1-酸鹼中和</t>
    <phoneticPr fontId="1" type="noConversion"/>
  </si>
  <si>
    <t>科學實驗王4-光合作用與呼吸作用</t>
    <phoneticPr fontId="1" type="noConversion"/>
  </si>
  <si>
    <t>U9xhoJ9HoY</t>
    <phoneticPr fontId="1" type="noConversion"/>
  </si>
  <si>
    <t>arwen1031@yahoo.com.tw</t>
    <phoneticPr fontId="1" type="noConversion"/>
  </si>
  <si>
    <t>怦怦！怦怦！聽聽身體的祕密：打開耳朵，探索人體的構造和運作機制</t>
    <phoneticPr fontId="1" type="noConversion"/>
  </si>
  <si>
    <t>讀共</t>
    <phoneticPr fontId="1" type="noConversion"/>
  </si>
  <si>
    <t>科學實驗王5-電流與磁力</t>
    <phoneticPr fontId="1" type="noConversion"/>
  </si>
  <si>
    <t>V</t>
    <phoneticPr fontId="1" type="noConversion"/>
  </si>
  <si>
    <t>已9折後再折50元</t>
    <phoneticPr fontId="1" type="noConversion"/>
  </si>
  <si>
    <t>101種書的使用方法</t>
    <phoneticPr fontId="1" type="noConversion"/>
  </si>
  <si>
    <t>科學實驗王6-環境與污染</t>
    <phoneticPr fontId="1" type="noConversion"/>
  </si>
  <si>
    <t>V</t>
    <phoneticPr fontId="1" type="noConversion"/>
  </si>
  <si>
    <t>科學實驗王7-人體的奧秘</t>
    <phoneticPr fontId="1" type="noConversion"/>
  </si>
  <si>
    <t>V</t>
    <phoneticPr fontId="1" type="noConversion"/>
  </si>
  <si>
    <t>V</t>
    <phoneticPr fontId="1" type="noConversion"/>
  </si>
  <si>
    <t>我家套書3-我家有個烏龜園</t>
    <phoneticPr fontId="1" type="noConversion"/>
  </si>
  <si>
    <t>梅子老師這一班1</t>
    <phoneticPr fontId="1" type="noConversion"/>
  </si>
  <si>
    <t>梅子老師這一班2</t>
  </si>
  <si>
    <t>梅子老師這一班3</t>
  </si>
  <si>
    <t>梅子老師這一班4</t>
  </si>
  <si>
    <t>梅子老師這一班6</t>
  </si>
  <si>
    <t>梅子老師這一班7</t>
  </si>
  <si>
    <t>袖珍動物園1</t>
    <phoneticPr fontId="1" type="noConversion"/>
  </si>
  <si>
    <t>袖珍動物園2</t>
  </si>
  <si>
    <t>袖珍動物園3</t>
  </si>
  <si>
    <t>袖珍動物園4</t>
  </si>
  <si>
    <t>袖珍動物園5</t>
  </si>
  <si>
    <t>爆笑科學王18</t>
  </si>
  <si>
    <t>奇怪的無人商店1：奇怪的無人冰店</t>
    <phoneticPr fontId="1" type="noConversion"/>
  </si>
  <si>
    <t>幼福</t>
  </si>
  <si>
    <t>幼福</t>
    <phoneticPr fontId="1" type="noConversion"/>
  </si>
  <si>
    <t>神話最強王圖鑑</t>
    <phoneticPr fontId="1" type="noConversion"/>
  </si>
  <si>
    <t>MOMO</t>
    <phoneticPr fontId="1" type="noConversion"/>
  </si>
  <si>
    <t>三國演義10本</t>
    <phoneticPr fontId="1" type="noConversion"/>
  </si>
  <si>
    <t>V</t>
    <phoneticPr fontId="1" type="noConversion"/>
  </si>
  <si>
    <t>西遊記3-10</t>
    <phoneticPr fontId="1" type="noConversion"/>
  </si>
  <si>
    <t>只是開玩笑，竟然變被告1</t>
    <phoneticPr fontId="1" type="noConversion"/>
  </si>
  <si>
    <t>只是開玩笑，竟然變被告2</t>
  </si>
  <si>
    <t>只是開玩笑，竟然變被告3</t>
  </si>
  <si>
    <t>只是開玩笑，竟然變被告4</t>
  </si>
  <si>
    <t>蝦皮</t>
    <phoneticPr fontId="1" type="noConversion"/>
  </si>
  <si>
    <t>X</t>
    <phoneticPr fontId="1" type="noConversion"/>
  </si>
  <si>
    <t>X</t>
  </si>
  <si>
    <t>V</t>
    <phoneticPr fontId="1" type="noConversion"/>
  </si>
  <si>
    <t>晨星</t>
  </si>
  <si>
    <t>晨星</t>
    <phoneticPr fontId="1" type="noConversion"/>
  </si>
  <si>
    <t>團書</t>
  </si>
  <si>
    <t>團書</t>
    <phoneticPr fontId="1" type="noConversion"/>
  </si>
  <si>
    <t>我的弟弟叫哪吒1 三千年之約</t>
  </si>
  <si>
    <t>歡迎光臨惡夢雜貨店：可怕的癢癢粉</t>
  </si>
  <si>
    <t>歡迎光臨惡夢雜貨店：冰天雪地大毛怪</t>
  </si>
  <si>
    <t>台灣民俗故事1：十二生肖大車拼</t>
  </si>
  <si>
    <t>氣象象的氣象調查筆記</t>
  </si>
  <si>
    <t>為什麼只有地球能住人？因為土壤、空氣、火和水</t>
  </si>
  <si>
    <t>悠哉悠哉危險生物圖鑑</t>
  </si>
  <si>
    <t>悠哉悠哉深海生物圖鑑</t>
  </si>
  <si>
    <t>一天一則，發現366個人體有趣知識</t>
  </si>
  <si>
    <t>漫畫圖解—地球環境與SDGs3防止地球暖化！</t>
  </si>
  <si>
    <t>小朋友的衛生學：生活環境×預防疾病×食品安全</t>
  </si>
  <si>
    <t>世界趣聞真奇妙</t>
  </si>
  <si>
    <t>5本66折再送1本</t>
    <phoneticPr fontId="1" type="noConversion"/>
  </si>
  <si>
    <t>小學生的腦科學漫畫-人類探索研究小隊3 為什麼人有這麼多情緒？</t>
    <phoneticPr fontId="1" type="noConversion"/>
  </si>
  <si>
    <t>V</t>
    <phoneticPr fontId="1" type="noConversion"/>
  </si>
  <si>
    <t>未讀</t>
  </si>
  <si>
    <t>5本66折再送1本</t>
  </si>
  <si>
    <t>科學小偵探1-神秘島的謎團</t>
    <phoneticPr fontId="1" type="noConversion"/>
  </si>
  <si>
    <t>V</t>
    <phoneticPr fontId="1" type="noConversion"/>
  </si>
  <si>
    <t>科學小偵探2-勇闖科學樂園</t>
    <phoneticPr fontId="1" type="noConversion"/>
  </si>
  <si>
    <t>V</t>
    <phoneticPr fontId="1" type="noConversion"/>
  </si>
  <si>
    <t>V</t>
    <phoneticPr fontId="1" type="noConversion"/>
  </si>
  <si>
    <t>數學除妖咒術師 妖怪馬戲團 多變的幾何圖形</t>
  </si>
  <si>
    <t>和平國際</t>
  </si>
  <si>
    <t>和平國際</t>
    <phoneticPr fontId="1" type="noConversion"/>
  </si>
  <si>
    <t>酷澎</t>
    <phoneticPr fontId="1" type="noConversion"/>
  </si>
  <si>
    <t>數學除妖咒術師：友情的考驗 圖解分數、比和比率</t>
  </si>
  <si>
    <t xml:space="preserve"> 數學除妖咒術師：解開封印 速解四則運算</t>
  </si>
  <si>
    <t>V</t>
    <phoneticPr fontId="1" type="noConversion"/>
  </si>
  <si>
    <t>讀共</t>
    <phoneticPr fontId="1" type="noConversion"/>
  </si>
  <si>
    <t>回頭書</t>
    <phoneticPr fontId="1" type="noConversion"/>
  </si>
  <si>
    <t>寫給中小學生的工作圖鑑</t>
  </si>
  <si>
    <t>妖怪學園（1）：妖怪開學日</t>
  </si>
  <si>
    <t>妖怪學園（2）：放學後的神祕郵件</t>
  </si>
  <si>
    <t>出發吧！科學露營車1 洞穴地質與生態</t>
  </si>
  <si>
    <t>圖解10歲就懂的AI入門</t>
  </si>
  <si>
    <t>超有趣!看漫畫學三國成語②:曹操統一北方.赤壁之戰</t>
  </si>
  <si>
    <t>超有趣！看漫畫學三國成語①：董卓亂政．群雄割據</t>
  </si>
  <si>
    <t>欖仁媽媽全球新聞臺【生活篇】小故事讀懂世界，成為守護SDGs的地球小公民</t>
  </si>
  <si>
    <t>110冊24500元</t>
    <phoneticPr fontId="1" type="noConversion"/>
  </si>
  <si>
    <t>欖仁媽媽全球新聞臺【世界篇】小故事讀懂世界，成為守護SDGs的地球小公民</t>
  </si>
  <si>
    <t>V</t>
    <phoneticPr fontId="1" type="noConversion"/>
  </si>
  <si>
    <t>2刷</t>
    <phoneticPr fontId="1" type="noConversion"/>
  </si>
  <si>
    <t>2026/2/1二刷</t>
    <phoneticPr fontId="1" type="noConversion"/>
  </si>
  <si>
    <t>V</t>
    <phoneticPr fontId="1" type="noConversion"/>
  </si>
  <si>
    <t>二刷、三刷</t>
    <phoneticPr fontId="1" type="noConversion"/>
  </si>
  <si>
    <t>恐龍戰隊最強王圖鑑</t>
    <phoneticPr fontId="1" type="noConversion"/>
  </si>
  <si>
    <t>大英百科-生物地科1-昆蟲與蜘蛛</t>
    <phoneticPr fontId="1" type="noConversion"/>
  </si>
  <si>
    <t>大英百科-生物地科2-地球</t>
    <phoneticPr fontId="1" type="noConversion"/>
  </si>
  <si>
    <t>大英百科-生物地科3-微生物</t>
    <phoneticPr fontId="1" type="noConversion"/>
  </si>
  <si>
    <t>大英百科-生物地科4-兩棲類與爬蟲類</t>
    <phoneticPr fontId="1" type="noConversion"/>
  </si>
  <si>
    <t>大英百科-生物地科5-潮間帶</t>
    <phoneticPr fontId="1" type="noConversion"/>
  </si>
  <si>
    <t>大英百科-生物地科6-天氣</t>
    <phoneticPr fontId="1" type="noConversion"/>
  </si>
  <si>
    <t>大英百科-生物地科7-龐物家禽家畜</t>
    <phoneticPr fontId="1" type="noConversion"/>
  </si>
  <si>
    <t>大英百科-生物地科8-恐龍</t>
    <phoneticPr fontId="1" type="noConversion"/>
  </si>
  <si>
    <t>大英百科-生物地科9-環境</t>
    <phoneticPr fontId="1" type="noConversion"/>
  </si>
  <si>
    <t>大英百科-生物地科10-北極與南極</t>
    <phoneticPr fontId="1" type="noConversion"/>
  </si>
  <si>
    <t>大英百科-物理化學1-宇宙</t>
    <phoneticPr fontId="1" type="noConversion"/>
  </si>
  <si>
    <t>大英百科-物理化學2-光與聲音</t>
    <phoneticPr fontId="1" type="noConversion"/>
  </si>
  <si>
    <t>大英百科-物理化學3-物質的特性</t>
    <phoneticPr fontId="1" type="noConversion"/>
  </si>
  <si>
    <t>大英百科-物理化學4-力與能量</t>
    <phoneticPr fontId="1" type="noConversion"/>
  </si>
  <si>
    <t>大英百科-物理化學5-水</t>
    <phoneticPr fontId="1" type="noConversion"/>
  </si>
  <si>
    <t>大英百科-科技6-人工智慧</t>
    <phoneticPr fontId="1" type="noConversion"/>
  </si>
  <si>
    <t>大英百科-科技7-巨量資料</t>
    <phoneticPr fontId="1" type="noConversion"/>
  </si>
  <si>
    <t>大英百科-科技8-生物科技</t>
    <phoneticPr fontId="1" type="noConversion"/>
  </si>
  <si>
    <t>大英百科-科技9-自駕車</t>
    <phoneticPr fontId="1" type="noConversion"/>
  </si>
  <si>
    <t>大英百科-科技10-NASA與航太科技</t>
    <phoneticPr fontId="1" type="noConversion"/>
  </si>
  <si>
    <t>V</t>
    <phoneticPr fontId="1" type="noConversion"/>
  </si>
  <si>
    <t>華一</t>
  </si>
  <si>
    <t>華一</t>
    <phoneticPr fontId="1" type="noConversion"/>
  </si>
  <si>
    <t>孩子愛上自然課了-神奇的頭腦</t>
    <phoneticPr fontId="1" type="noConversion"/>
  </si>
  <si>
    <t>孩子愛上自然課了-生命的誕生</t>
    <phoneticPr fontId="1" type="noConversion"/>
  </si>
  <si>
    <t>孩子愛上自然課了-身體裡的器官</t>
    <phoneticPr fontId="1" type="noConversion"/>
  </si>
  <si>
    <t>孩子愛上自然課了-五官的故事</t>
    <phoneticPr fontId="1" type="noConversion"/>
  </si>
  <si>
    <t>孩子愛上自然課了-血液的本事</t>
    <phoneticPr fontId="1" type="noConversion"/>
  </si>
  <si>
    <t>FB</t>
    <phoneticPr fontId="1" type="noConversion"/>
  </si>
  <si>
    <t>小麥田</t>
  </si>
  <si>
    <t>小麥田</t>
    <phoneticPr fontId="1" type="noConversion"/>
  </si>
  <si>
    <t>Flip-Thinking！來自荷蘭的翻轉思考法</t>
    <phoneticPr fontId="1" type="noConversion"/>
  </si>
  <si>
    <t>細菌偵查隊</t>
    <phoneticPr fontId="1" type="noConversion"/>
  </si>
  <si>
    <t>漫畫量子力學2-光的秘密大公開</t>
    <phoneticPr fontId="1" type="noConversion"/>
  </si>
  <si>
    <t>我會自己做計畫</t>
    <phoneticPr fontId="1" type="noConversion"/>
  </si>
  <si>
    <t>長大後的你想成為什麼樣的人？</t>
    <phoneticPr fontId="1" type="noConversion"/>
  </si>
  <si>
    <t>漫畫量子力學2-原子世界大探索</t>
    <phoneticPr fontId="1" type="noConversion"/>
  </si>
  <si>
    <t>奇蹟機器狗</t>
    <phoneticPr fontId="1" type="noConversion"/>
  </si>
  <si>
    <t>書怎麼做出來的</t>
    <phoneticPr fontId="1" type="noConversion"/>
  </si>
  <si>
    <t>強尼的神奇種子</t>
    <phoneticPr fontId="1" type="noConversion"/>
  </si>
  <si>
    <t>折150元</t>
    <phoneticPr fontId="1" type="noConversion"/>
  </si>
  <si>
    <t>V</t>
    <phoneticPr fontId="1" type="noConversion"/>
  </si>
  <si>
    <t>梅子老師這一班5-什麼？老師不教了！</t>
    <phoneticPr fontId="1" type="noConversion"/>
  </si>
  <si>
    <t>科學小偵探3-抓住神秘怪盜</t>
    <phoneticPr fontId="1" type="noConversion"/>
  </si>
  <si>
    <t>小牛頓-戰力高強的螳螂4</t>
    <phoneticPr fontId="1" type="noConversion"/>
  </si>
  <si>
    <t>小牛頓-最勤勞的小昆蟲—螞蟻3</t>
    <phoneticPr fontId="1" type="noConversion"/>
  </si>
  <si>
    <t>小牛頓-深海潛將—抹香鯨2</t>
    <phoneticPr fontId="1" type="noConversion"/>
  </si>
  <si>
    <t>小牛頓-地球上的水1</t>
    <phoneticPr fontId="1" type="noConversion"/>
  </si>
  <si>
    <t>小牛頓32本</t>
    <phoneticPr fontId="1" type="noConversion"/>
  </si>
  <si>
    <t>V</t>
    <phoneticPr fontId="1" type="noConversion"/>
  </si>
  <si>
    <t>再刷</t>
    <phoneticPr fontId="1" type="noConversion"/>
  </si>
  <si>
    <t>孩子的第一套地理、歷史</t>
    <phoneticPr fontId="1" type="noConversion"/>
  </si>
  <si>
    <t>漫畫科學超有趣8本</t>
    <phoneticPr fontId="1" type="noConversion"/>
  </si>
  <si>
    <t>X</t>
    <phoneticPr fontId="1" type="noConversion"/>
  </si>
  <si>
    <t>科學實驗王8-基因與遺傳</t>
    <phoneticPr fontId="1" type="noConversion"/>
  </si>
  <si>
    <t>V</t>
    <phoneticPr fontId="1" type="noConversion"/>
  </si>
  <si>
    <t>聯經</t>
  </si>
  <si>
    <t>聯經</t>
    <phoneticPr fontId="1" type="noConversion"/>
  </si>
  <si>
    <t>砲臺歷險記</t>
    <phoneticPr fontId="1" type="noConversion"/>
  </si>
  <si>
    <t>2026/4/14二刷</t>
    <phoneticPr fontId="1" type="noConversion"/>
  </si>
  <si>
    <t>字畝文化</t>
  </si>
  <si>
    <t>字畝文化</t>
    <phoneticPr fontId="1" type="noConversion"/>
  </si>
  <si>
    <t>讀共</t>
    <phoneticPr fontId="1" type="noConversion"/>
  </si>
  <si>
    <t>為什麼要睡覺？──關於睡眠的20個奧妙知識！</t>
    <phoneticPr fontId="1" type="noConversion"/>
  </si>
  <si>
    <t>2026/4/17二刷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</si>
</sst>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_);[Red]\(0\)"/>
    <numFmt numFmtId="177" formatCode="_-* #,##0_-;\-* #,##0_-;_-* &quot;-&quot;??_-;_-@_-"/>
    <numFmt numFmtId="178" formatCode="_-* #,##0.0_-;\-* #,##0.0_-;_-* &quot;-&quot;??_-;_-@_-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1" fontId="2" fillId="0" borderId="0" xfId="0" applyNumberFormat="1" applyFont="1">
      <alignment vertical="center"/>
    </xf>
    <xf numFmtId="0" fontId="2" fillId="2" borderId="0" xfId="0" applyFont="1" applyFill="1">
      <alignment vertical="center"/>
    </xf>
    <xf numFmtId="176" fontId="2" fillId="2" borderId="0" xfId="0" applyNumberFormat="1" applyFont="1" applyFill="1">
      <alignment vertical="center"/>
    </xf>
    <xf numFmtId="176" fontId="2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7" fontId="0" fillId="0" borderId="0" xfId="1" applyNumberFormat="1" applyFont="1">
      <alignment vertical="center"/>
    </xf>
    <xf numFmtId="177" fontId="0" fillId="0" borderId="0" xfId="0" applyNumberFormat="1">
      <alignment vertical="center"/>
    </xf>
    <xf numFmtId="178" fontId="0" fillId="0" borderId="0" xfId="1" applyNumberFormat="1" applyFont="1">
      <alignment vertical="center"/>
    </xf>
  </cellXfs>
  <cellStyles count="2">
    <cellStyle name="一般" xfId="0" builtinId="0"/>
    <cellStyle name="千分位" xfId="1" builtinId="3"/>
  </cellStyles>
  <dxfs count="24"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  <dxf>
      <numFmt numFmtId="177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wen hung" refreshedDate="46129.923742129627" createdVersion="8" refreshedVersion="8" minRefreshableVersion="3" recordCount="517" xr:uid="{63FF8D34-CCFD-4172-9950-5F22C60962CE}">
  <cacheSource type="worksheet">
    <worksheetSource ref="A1:M626" sheet="閱謮書單"/>
  </cacheSource>
  <cacheFields count="13">
    <cacheField name="出版社" numFmtId="0">
      <sharedItems containsBlank="1" count="31">
        <s v="親子天下"/>
        <s v="采實"/>
        <s v="華王"/>
        <s v="小熊"/>
        <s v="木馬文化"/>
        <s v="小天下"/>
        <s v="國語日報"/>
        <s v="小兵"/>
        <s v="小樹"/>
        <s v="野人"/>
        <s v="時報"/>
        <s v="東雨"/>
        <s v="三采"/>
        <s v="遠流"/>
        <s v="晴好"/>
        <s v="小宇宙"/>
        <s v="未來"/>
        <s v="天衛"/>
        <s v="五南"/>
        <s v="小光點"/>
        <s v="小角落文化"/>
        <s v="步步"/>
        <s v="南門"/>
        <s v="幼福"/>
        <s v="晨星"/>
        <s v="和平國際"/>
        <s v="華一"/>
        <s v="小麥田"/>
        <s v="聯經"/>
        <s v="字畝文化"/>
        <m/>
      </sharedItems>
    </cacheField>
    <cacheField name="書名" numFmtId="0">
      <sharedItems containsBlank="1"/>
    </cacheField>
    <cacheField name="已閱" numFmtId="0">
      <sharedItems containsBlank="1"/>
    </cacheField>
    <cacheField name="購買日" numFmtId="0">
      <sharedItems containsNonDate="0" containsDate="1" containsString="0" containsBlank="1" minDate="2023-06-25T00:00:00" maxDate="2026-04-15T00:00:00"/>
    </cacheField>
    <cacheField name="買入價" numFmtId="0">
      <sharedItems containsString="0" containsBlank="1" containsNumber="1" minValue="0" maxValue="3500"/>
    </cacheField>
    <cacheField name="購買平台" numFmtId="0">
      <sharedItems containsBlank="1"/>
    </cacheField>
    <cacheField name="售出價" numFmtId="0">
      <sharedItems containsString="0" containsBlank="1" containsNumber="1" minValue="-2423" maxValue="-72.3"/>
    </cacheField>
    <cacheField name="售出日" numFmtId="0">
      <sharedItems containsNonDate="0" containsDate="1" containsString="0" containsBlank="1" minDate="2024-04-21T00:00:00" maxDate="2026-03-31T00:00:00"/>
    </cacheField>
    <cacheField name="閱讀日" numFmtId="0">
      <sharedItems containsNonDate="0" containsDate="1" containsString="0" containsBlank="1" minDate="2025-09-02T00:00:00" maxDate="2026-04-07T00:00:00"/>
    </cacheField>
    <cacheField name="備註" numFmtId="0">
      <sharedItems containsBlank="1"/>
    </cacheField>
    <cacheField name="成本" numFmtId="176">
      <sharedItems containsString="0" containsBlank="1" containsNumber="1" minValue="-105" maxValue="3500"/>
    </cacheField>
    <cacheField name="已讀數量" numFmtId="0">
      <sharedItems containsBlank="1" containsMixedTypes="1" containsNumber="1" containsInteger="1" minValue="0" maxValue="100"/>
    </cacheField>
    <cacheField name="書籍數" numFmtId="0">
      <sharedItems containsString="0" containsBlank="1" containsNumber="1" containsInteger="1" minValue="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wen hung" refreshedDate="46129.923960300926" createdVersion="8" refreshedVersion="8" minRefreshableVersion="3" recordCount="517" xr:uid="{93A226F1-6C79-4ED2-BDE5-C88063FE38F3}">
  <cacheSource type="worksheet">
    <worksheetSource ref="A1:M1048576" sheet="閱謮書單"/>
  </cacheSource>
  <cacheFields count="13">
    <cacheField name="出版社" numFmtId="0">
      <sharedItems containsBlank="1"/>
    </cacheField>
    <cacheField name="書名" numFmtId="0">
      <sharedItems containsBlank="1"/>
    </cacheField>
    <cacheField name="已閱" numFmtId="0">
      <sharedItems containsBlank="1" count="3">
        <m/>
        <s v="V"/>
        <s v="X"/>
      </sharedItems>
    </cacheField>
    <cacheField name="購買日" numFmtId="0">
      <sharedItems containsNonDate="0" containsDate="1" containsString="0" containsBlank="1" minDate="2023-06-25T00:00:00" maxDate="2026-04-15T00:00:00"/>
    </cacheField>
    <cacheField name="買入價" numFmtId="0">
      <sharedItems containsString="0" containsBlank="1" containsNumber="1" minValue="0" maxValue="3500"/>
    </cacheField>
    <cacheField name="購買平台" numFmtId="0">
      <sharedItems containsBlank="1"/>
    </cacheField>
    <cacheField name="售出價" numFmtId="0">
      <sharedItems containsString="0" containsBlank="1" containsNumber="1" minValue="-2423" maxValue="-72.3"/>
    </cacheField>
    <cacheField name="售出日" numFmtId="0">
      <sharedItems containsNonDate="0" containsDate="1" containsString="0" containsBlank="1" minDate="2024-04-21T00:00:00" maxDate="2026-03-31T00:00:00"/>
    </cacheField>
    <cacheField name="閱讀日" numFmtId="0">
      <sharedItems containsNonDate="0" containsDate="1" containsString="0" containsBlank="1" minDate="2025-09-02T00:00:00" maxDate="2026-04-07T00:00:00"/>
    </cacheField>
    <cacheField name="備註" numFmtId="0">
      <sharedItems containsBlank="1"/>
    </cacheField>
    <cacheField name="成本" numFmtId="176">
      <sharedItems containsString="0" containsBlank="1" containsNumber="1" minValue="-105" maxValue="3500"/>
    </cacheField>
    <cacheField name="已讀數量" numFmtId="0">
      <sharedItems containsBlank="1" containsMixedTypes="1" containsNumber="1" containsInteger="1" minValue="0" maxValue="100"/>
    </cacheField>
    <cacheField name="書籍數" numFmtId="0">
      <sharedItems containsString="0" containsBlank="1" containsNumber="1" containsInteger="1" minValue="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wen hung" refreshedDate="46129.924007291665" createdVersion="8" refreshedVersion="8" minRefreshableVersion="3" recordCount="483" xr:uid="{42A56D72-EEEB-4429-A314-6F2DACC8314A}">
  <cacheSource type="worksheet">
    <worksheetSource ref="A1:M484" sheet="閱謮書單"/>
  </cacheSource>
  <cacheFields count="13">
    <cacheField name="出版社" numFmtId="0">
      <sharedItems/>
    </cacheField>
    <cacheField name="書名" numFmtId="0">
      <sharedItems/>
    </cacheField>
    <cacheField name="已閱" numFmtId="0">
      <sharedItems containsBlank="1"/>
    </cacheField>
    <cacheField name="購買日" numFmtId="14">
      <sharedItems containsSemiMixedTypes="0" containsNonDate="0" containsDate="1" containsString="0" minDate="2023-06-25T00:00:00" maxDate="2026-03-08T00:00:00"/>
    </cacheField>
    <cacheField name="買入價" numFmtId="0">
      <sharedItems containsSemiMixedTypes="0" containsString="0" containsNumber="1" minValue="0" maxValue="3500"/>
    </cacheField>
    <cacheField name="購買平台" numFmtId="0">
      <sharedItems/>
    </cacheField>
    <cacheField name="售出價" numFmtId="0">
      <sharedItems containsString="0" containsBlank="1" containsNumber="1" minValue="-2423" maxValue="-72.3" count="36">
        <m/>
        <n v="-249.5"/>
        <n v="-269"/>
        <n v="-209.5"/>
        <n v="-165.33333333333334"/>
        <n v="-151.33333333333334"/>
        <n v="-178.33333333333334"/>
        <n v="-133"/>
        <n v="-184.66666666666666"/>
        <n v="-155"/>
        <n v="-141.5"/>
        <n v="-176"/>
        <n v="-123"/>
        <n v="-155.4"/>
        <n v="-204"/>
        <n v="-183.6057142857143"/>
        <n v="-208.75"/>
        <n v="-220.5"/>
        <n v="-163"/>
        <n v="-115.625"/>
        <n v="-161"/>
        <n v="-171"/>
        <n v="-242.2"/>
        <n v="-200"/>
        <n v="-231"/>
        <n v="-146.5"/>
        <n v="-177"/>
        <n v="-221.07500000000002"/>
        <n v="-184"/>
        <n v="-168"/>
        <n v="-72.3"/>
        <n v="-578.4"/>
        <n v="-739"/>
        <n v="-2423"/>
        <n v="-809"/>
        <n v="-573"/>
      </sharedItems>
    </cacheField>
    <cacheField name="售出日" numFmtId="0">
      <sharedItems containsNonDate="0" containsDate="1" containsString="0" containsBlank="1" minDate="2024-04-21T00:00:00" maxDate="2026-03-31T00:00:00"/>
    </cacheField>
    <cacheField name="閱讀日" numFmtId="0">
      <sharedItems containsNonDate="0" containsDate="1" containsString="0" containsBlank="1" minDate="2025-09-02T00:00:00" maxDate="2026-04-07T00:00:00"/>
    </cacheField>
    <cacheField name="備註" numFmtId="0">
      <sharedItems containsBlank="1"/>
    </cacheField>
    <cacheField name="成本" numFmtId="176">
      <sharedItems containsSemiMixedTypes="0" containsString="0" containsNumber="1" minValue="-105" maxValue="3500"/>
    </cacheField>
    <cacheField name="已讀數量" numFmtId="0">
      <sharedItems containsMixedTypes="1" containsNumber="1" containsInteger="1" minValue="0" maxValue="100"/>
    </cacheField>
    <cacheField name="書籍數" numFmtId="0">
      <sharedItems containsSemiMixedTypes="0" containsString="0" containsNumber="1" containsInteger="1" minValue="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">
  <r>
    <x v="0"/>
    <s v="學校沒教的心理課：自我成長篇—穩定情緒、突破盲點，華麗變身人氣王"/>
    <m/>
    <d v="2025-11-04T00:00:00"/>
    <n v="200"/>
    <s v="親子天下"/>
    <m/>
    <m/>
    <m/>
    <m/>
    <n v="200"/>
    <s v=""/>
    <n v="1"/>
  </r>
  <r>
    <x v="0"/>
    <s v="穿越驚奇圖書館1：被封印的格林兄弟"/>
    <m/>
    <d v="2025-11-04T00:00:00"/>
    <n v="174"/>
    <s v="親子天下"/>
    <m/>
    <m/>
    <m/>
    <m/>
    <n v="174"/>
    <s v=""/>
    <n v="1"/>
  </r>
  <r>
    <x v="0"/>
    <s v="奇想聊齋1"/>
    <m/>
    <d v="2025-10-22T00:00:00"/>
    <n v="160"/>
    <s v="親子天下"/>
    <m/>
    <m/>
    <m/>
    <s v="有使用點數及優惠券300"/>
    <n v="160"/>
    <s v=""/>
    <n v="1"/>
  </r>
  <r>
    <x v="0"/>
    <s v="奇想聊齋2"/>
    <m/>
    <d v="2025-10-22T00:00:00"/>
    <n v="160"/>
    <s v="親子天下"/>
    <m/>
    <m/>
    <m/>
    <s v="有使用點數及優惠券300"/>
    <n v="160"/>
    <s v=""/>
    <n v="1"/>
  </r>
  <r>
    <x v="0"/>
    <s v="奇想聊齋3"/>
    <m/>
    <d v="2025-10-22T00:00:00"/>
    <n v="160"/>
    <s v="親子天下"/>
    <m/>
    <m/>
    <m/>
    <s v="有使用點數及優惠券300"/>
    <n v="160"/>
    <s v=""/>
    <n v="1"/>
  </r>
  <r>
    <x v="0"/>
    <s v="奇想三國1：九命喜鵲救曹操"/>
    <m/>
    <d v="2025-10-22T00:00:00"/>
    <n v="149"/>
    <s v="親子天下"/>
    <m/>
    <m/>
    <m/>
    <s v="有使用點數及優惠券300"/>
    <n v="149"/>
    <s v=""/>
    <n v="1"/>
  </r>
  <r>
    <x v="0"/>
    <s v="身體怎麼了"/>
    <s v="V"/>
    <d v="2025-10-22T00:00:00"/>
    <n v="221.5"/>
    <s v="親子天下"/>
    <n v="-249.5"/>
    <d v="2026-02-02T00:00:00"/>
    <d v="2025-11-12T00:00:00"/>
    <s v="有使用點數及優惠券300"/>
    <n v="-28"/>
    <n v="1"/>
    <n v="1"/>
  </r>
  <r>
    <x v="0"/>
    <s v="生病怎麼辦"/>
    <s v="V"/>
    <d v="2025-10-22T00:00:00"/>
    <n v="221.5"/>
    <s v="親子天下"/>
    <n v="-249.5"/>
    <d v="2026-02-02T00:00:00"/>
    <d v="2025-11-11T00:00:00"/>
    <s v="有使用點數及優惠券300"/>
    <n v="-28"/>
    <n v="1"/>
    <n v="1"/>
  </r>
  <r>
    <x v="0"/>
    <s v="伊豬豬和魯豬豬異想天開腦治大開古怪故事集：勇敢的勇太"/>
    <s v="V"/>
    <d v="2025-10-21T00:00:00"/>
    <n v="164"/>
    <s v="親子天下"/>
    <n v="-269"/>
    <d v="2026-03-15T00:00:00"/>
    <d v="2025-10-24T00:00:00"/>
    <s v="有使用3.1萬點及優惠券300"/>
    <n v="-105"/>
    <n v="1"/>
    <n v="1"/>
  </r>
  <r>
    <x v="0"/>
    <s v="最想吃的漫畫世界史：好味甜點時光機"/>
    <m/>
    <d v="2025-10-21T00:00:00"/>
    <n v="187"/>
    <s v="親子天下"/>
    <m/>
    <m/>
    <m/>
    <s v="有使用3.1萬點及優惠券300"/>
    <n v="187"/>
    <s v=""/>
    <n v="1"/>
  </r>
  <r>
    <x v="0"/>
    <s v="最想吃的漫畫世界史：好味食品實驗室"/>
    <m/>
    <d v="2025-10-21T00:00:00"/>
    <n v="187"/>
    <s v="親子天下"/>
    <m/>
    <m/>
    <m/>
    <s v="有使用3.1萬點及優惠券300"/>
    <n v="187"/>
    <s v=""/>
    <n v="1"/>
  </r>
  <r>
    <x v="0"/>
    <s v="汪汪狗圖解生活數學套書-為什麼電梯沒有0樓？"/>
    <s v="V"/>
    <d v="2025-10-21T00:00:00"/>
    <n v="131"/>
    <s v="親子天下"/>
    <m/>
    <m/>
    <d v="2025-12-20T00:00:00"/>
    <s v="有使用3.1萬點及優惠券300"/>
    <n v="131"/>
    <n v="1"/>
    <n v="1"/>
  </r>
  <r>
    <x v="0"/>
    <s v="汪汪狗圖解生活數學套書-一眨眼的時間是幾秒？"/>
    <s v="V"/>
    <d v="2025-10-21T00:00:00"/>
    <n v="131"/>
    <s v="親子天下"/>
    <m/>
    <m/>
    <d v="2025-12-20T00:00:00"/>
    <s v="有使用3.1萬點及優惠券300"/>
    <n v="131"/>
    <n v="1"/>
    <n v="1"/>
  </r>
  <r>
    <x v="0"/>
    <s v="最有梗的人體教室：針筒兄弟與他們的器官小夥伴"/>
    <m/>
    <d v="2025-10-01T00:00:00"/>
    <n v="215"/>
    <s v="親子天下"/>
    <m/>
    <m/>
    <m/>
    <s v="使用6700點及優惠券100元"/>
    <n v="215"/>
    <s v=""/>
    <n v="1"/>
  </r>
  <r>
    <x v="0"/>
    <s v="達克比辦案1"/>
    <m/>
    <d v="2025-06-09T00:00:00"/>
    <n v="169.2"/>
    <s v="親子天下"/>
    <m/>
    <m/>
    <m/>
    <m/>
    <n v="169.2"/>
    <s v=""/>
    <n v="1"/>
  </r>
  <r>
    <x v="0"/>
    <s v="達克比辦案2"/>
    <m/>
    <d v="2025-06-09T00:00:00"/>
    <n v="169.2"/>
    <s v="親子天下"/>
    <m/>
    <m/>
    <m/>
    <m/>
    <n v="169.2"/>
    <s v=""/>
    <n v="1"/>
  </r>
  <r>
    <x v="0"/>
    <s v="達克比辦案3"/>
    <m/>
    <d v="2025-06-09T00:00:00"/>
    <n v="169.2"/>
    <s v="親子天下"/>
    <m/>
    <m/>
    <m/>
    <m/>
    <n v="169.2"/>
    <s v=""/>
    <n v="1"/>
  </r>
  <r>
    <x v="0"/>
    <s v="達克比辦案4"/>
    <m/>
    <d v="2025-06-09T00:00:00"/>
    <n v="169.2"/>
    <s v="親子天下"/>
    <m/>
    <m/>
    <m/>
    <m/>
    <n v="169.2"/>
    <s v=""/>
    <n v="1"/>
  </r>
  <r>
    <x v="0"/>
    <s v="達克比辦案5"/>
    <m/>
    <d v="2025-06-09T00:00:00"/>
    <n v="169.2"/>
    <s v="親子天下"/>
    <m/>
    <m/>
    <m/>
    <m/>
    <n v="169.2"/>
    <s v=""/>
    <n v="1"/>
  </r>
  <r>
    <x v="0"/>
    <s v="科學不思議1：點亮營火蟲之光"/>
    <m/>
    <d v="2025-04-08T00:00:00"/>
    <n v="183"/>
    <s v="親子天下"/>
    <m/>
    <m/>
    <m/>
    <m/>
    <n v="183"/>
    <s v=""/>
    <n v="1"/>
  </r>
  <r>
    <x v="0"/>
    <s v="科學不思議2：生理時鐘滴答滴"/>
    <m/>
    <d v="2025-04-08T00:00:00"/>
    <n v="183"/>
    <s v="親子天下"/>
    <m/>
    <m/>
    <m/>
    <m/>
    <n v="183"/>
    <s v=""/>
    <n v="1"/>
  </r>
  <r>
    <x v="0"/>
    <s v="科學不思議3：神奇植物吹泡泡"/>
    <m/>
    <d v="2025-04-08T00:00:00"/>
    <n v="184"/>
    <s v="親子天下"/>
    <m/>
    <m/>
    <m/>
    <m/>
    <n v="184"/>
    <s v=""/>
    <n v="1"/>
  </r>
  <r>
    <x v="0"/>
    <s v="科學不思議4：好想去月球"/>
    <m/>
    <d v="2025-04-08T00:00:00"/>
    <n v="185"/>
    <s v="親子天下"/>
    <m/>
    <m/>
    <m/>
    <m/>
    <n v="185"/>
    <s v=""/>
    <n v="1"/>
  </r>
  <r>
    <x v="0"/>
    <s v="科學不思議5：尾巴大調查"/>
    <m/>
    <d v="2025-04-08T00:00:00"/>
    <n v="185"/>
    <s v="親子天下"/>
    <m/>
    <m/>
    <m/>
    <m/>
    <n v="185"/>
    <s v=""/>
    <n v="1"/>
  </r>
  <r>
    <x v="0"/>
    <s v="科學不思議6：昆蟲量體重"/>
    <m/>
    <d v="2025-04-08T00:00:00"/>
    <n v="185"/>
    <s v="親子天下"/>
    <m/>
    <m/>
    <m/>
    <m/>
    <n v="185"/>
    <s v=""/>
    <n v="1"/>
  </r>
  <r>
    <x v="0"/>
    <s v="我愛奇怪阿公"/>
    <s v="V"/>
    <d v="2025-04-08T00:00:00"/>
    <n v="211"/>
    <s v="親子天下"/>
    <n v="-209.5"/>
    <d v="2025-11-12T00:00:00"/>
    <m/>
    <m/>
    <n v="1.5"/>
    <n v="1"/>
    <n v="1"/>
  </r>
  <r>
    <x v="0"/>
    <s v="我愛奇怪阿嬤"/>
    <s v="V"/>
    <d v="2025-04-08T00:00:00"/>
    <n v="211"/>
    <s v="親子天下"/>
    <n v="-209.5"/>
    <d v="2025-11-12T00:00:00"/>
    <m/>
    <m/>
    <n v="1.5"/>
    <n v="1"/>
    <n v="1"/>
  </r>
  <r>
    <x v="0"/>
    <s v="學思達小學堂2：都是我的"/>
    <s v="V"/>
    <d v="2025-04-08T00:00:00"/>
    <n v="174"/>
    <s v="親子天下"/>
    <m/>
    <m/>
    <d v="2025-10-12T00:00:00"/>
    <m/>
    <n v="174"/>
    <n v="1"/>
    <n v="1"/>
  </r>
  <r>
    <x v="0"/>
    <s v="快閃貓生活謎語童話1：神祕山有鬼？"/>
    <s v="V"/>
    <d v="2025-04-08T00:00:00"/>
    <n v="158"/>
    <s v="親子天下"/>
    <n v="-165.33333333333334"/>
    <d v="2025-09-22T00:00:00"/>
    <m/>
    <m/>
    <n v="-7.3333333333333428"/>
    <n v="1"/>
    <n v="1"/>
  </r>
  <r>
    <x v="0"/>
    <s v="快閃貓生活謎語童話2：滾滾豬大富翁"/>
    <s v="V"/>
    <d v="2025-04-08T00:00:00"/>
    <n v="158"/>
    <s v="親子天下"/>
    <n v="-165.33333333333334"/>
    <d v="2025-09-22T00:00:00"/>
    <m/>
    <m/>
    <n v="-7.3333333333333428"/>
    <n v="1"/>
    <n v="1"/>
  </r>
  <r>
    <x v="0"/>
    <s v="快閃貓生活謎語童話3：超級難唸的安眠咒"/>
    <s v="V"/>
    <d v="2025-04-08T00:00:00"/>
    <n v="170"/>
    <s v="親子天下"/>
    <n v="-165.33333333333334"/>
    <d v="2025-09-22T00:00:00"/>
    <m/>
    <m/>
    <n v="4.6666666666666572"/>
    <n v="1"/>
    <n v="1"/>
  </r>
  <r>
    <x v="0"/>
    <s v="奇想三十六計套書1"/>
    <m/>
    <d v="2025-04-08T00:00:00"/>
    <n v="176.66666666666666"/>
    <s v="親子天下"/>
    <m/>
    <m/>
    <m/>
    <m/>
    <n v="176.66666666666666"/>
    <s v=""/>
    <n v="1"/>
  </r>
  <r>
    <x v="0"/>
    <s v="奇想三十六計套書2"/>
    <m/>
    <d v="2025-04-08T00:00:00"/>
    <n v="176.66666666666666"/>
    <s v="親子天下"/>
    <m/>
    <m/>
    <m/>
    <m/>
    <n v="176.66666666666666"/>
    <s v=""/>
    <n v="1"/>
  </r>
  <r>
    <x v="0"/>
    <s v="奇想三十六計套書3"/>
    <m/>
    <d v="2025-04-08T00:00:00"/>
    <n v="176.66666666666666"/>
    <s v="親子天下"/>
    <m/>
    <m/>
    <m/>
    <m/>
    <n v="176.66666666666666"/>
    <s v=""/>
    <n v="1"/>
  </r>
  <r>
    <x v="0"/>
    <s v="小熊兄妹的點子屋1：點子屋新開張"/>
    <s v="V"/>
    <d v="2025-04-08T00:00:00"/>
    <n v="151"/>
    <s v="親子天下"/>
    <n v="-151.33333333333334"/>
    <d v="2025-12-03T00:00:00"/>
    <d v="2025-11-08T00:00:00"/>
    <m/>
    <n v="-0.33333333333334281"/>
    <n v="1"/>
    <n v="1"/>
  </r>
  <r>
    <x v="0"/>
    <s v="小熊兄妹的點子屋2：不能說的三句話"/>
    <s v="V"/>
    <d v="2025-04-08T00:00:00"/>
    <n v="151"/>
    <s v="親子天下"/>
    <n v="-151.33333333333334"/>
    <d v="2025-12-03T00:00:00"/>
    <d v="2025-11-09T00:00:00"/>
    <m/>
    <n v="-0.33333333333334281"/>
    <n v="1"/>
    <n v="1"/>
  </r>
  <r>
    <x v="0"/>
    <s v="小熊兄妹的點子屋3：超愛睏魔咒大作戰"/>
    <s v="V"/>
    <d v="2025-04-08T00:00:00"/>
    <n v="151"/>
    <s v="親子天下"/>
    <n v="-151.33333333333334"/>
    <d v="2025-12-03T00:00:00"/>
    <d v="2025-11-10T00:00:00"/>
    <m/>
    <n v="-0.33333333333334281"/>
    <n v="1"/>
    <n v="1"/>
  </r>
  <r>
    <x v="0"/>
    <s v="家守神1：暗藏神祕的百年之屋"/>
    <m/>
    <d v="2025-03-12T00:00:00"/>
    <n v="220"/>
    <s v="親子天下"/>
    <m/>
    <m/>
    <m/>
    <m/>
    <n v="220"/>
    <s v=""/>
    <n v="1"/>
  </r>
  <r>
    <x v="0"/>
    <s v="狐狸一族心探險套書1"/>
    <s v="V"/>
    <d v="2025-03-12T00:00:00"/>
    <n v="176.33333333333334"/>
    <s v="親子天下"/>
    <n v="-178.33333333333334"/>
    <d v="2025-10-31T00:00:00"/>
    <m/>
    <m/>
    <n v="-2"/>
    <n v="1"/>
    <n v="1"/>
  </r>
  <r>
    <x v="0"/>
    <s v="狐狸一族心探險套書2"/>
    <s v="V"/>
    <d v="2025-03-12T00:00:00"/>
    <n v="176.33333333333334"/>
    <s v="親子天下"/>
    <n v="-178.33333333333334"/>
    <d v="2025-10-31T00:00:00"/>
    <m/>
    <m/>
    <n v="-2"/>
    <n v="1"/>
    <n v="1"/>
  </r>
  <r>
    <x v="0"/>
    <s v="狐狸一族心探險套書3"/>
    <s v="V"/>
    <d v="2025-03-12T00:00:00"/>
    <n v="176.33333333333334"/>
    <s v="親子天下"/>
    <n v="-178.33333333333334"/>
    <d v="2025-10-31T00:00:00"/>
    <m/>
    <m/>
    <n v="-2"/>
    <n v="1"/>
    <n v="1"/>
  </r>
  <r>
    <x v="0"/>
    <s v="妙妙喵圖解生活科學1：消失的便便"/>
    <s v="V"/>
    <d v="2025-11-04T00:00:00"/>
    <n v="160"/>
    <s v="親子天下"/>
    <m/>
    <m/>
    <d v="2026-01-11T00:00:00"/>
    <m/>
    <n v="160"/>
    <n v="1"/>
    <n v="1"/>
  </r>
  <r>
    <x v="0"/>
    <s v="妙妙喵圖解生活科學2：超能微波爐"/>
    <s v="V"/>
    <d v="2025-10-17T00:00:00"/>
    <n v="259"/>
    <s v="博客來"/>
    <m/>
    <m/>
    <d v="2025-10-12T00:00:00"/>
    <m/>
    <n v="259"/>
    <n v="1"/>
    <n v="1"/>
  </r>
  <r>
    <x v="0"/>
    <s v="妙妙喵圖解生活科學3：神奇測謊機"/>
    <s v="V"/>
    <d v="2025-03-12T00:00:00"/>
    <n v="202"/>
    <s v="親子天下"/>
    <m/>
    <m/>
    <d v="2026-01-14T00:00:00"/>
    <m/>
    <n v="202"/>
    <n v="1"/>
    <n v="1"/>
  </r>
  <r>
    <x v="0"/>
    <s v="妙妙喵圖解生活科學4：閃電避雷針"/>
    <s v="V"/>
    <d v="2025-11-04T00:00:00"/>
    <n v="177"/>
    <s v="親子天下"/>
    <m/>
    <m/>
    <d v="2025-11-30T00:00:00"/>
    <m/>
    <n v="177"/>
    <n v="1"/>
    <n v="1"/>
  </r>
  <r>
    <x v="0"/>
    <s v="君偉的怪奇報告"/>
    <m/>
    <d v="2025-11-04T00:00:00"/>
    <n v="131"/>
    <s v="親子天下"/>
    <m/>
    <m/>
    <m/>
    <m/>
    <n v="131"/>
    <s v=""/>
    <n v="1"/>
  </r>
  <r>
    <x v="0"/>
    <s v="君偉的節日報告"/>
    <s v="V"/>
    <d v="2025-02-09T00:00:00"/>
    <n v="176"/>
    <s v="親子天下"/>
    <m/>
    <m/>
    <d v="2025-11-17T00:00:00"/>
    <m/>
    <n v="176"/>
    <n v="1"/>
    <n v="1"/>
  </r>
  <r>
    <x v="0"/>
    <s v="暴龍時光機"/>
    <s v="V"/>
    <d v="2025-02-09T00:00:00"/>
    <n v="164"/>
    <s v="親子天下"/>
    <m/>
    <m/>
    <m/>
    <m/>
    <n v="164"/>
    <n v="1"/>
    <n v="1"/>
  </r>
  <r>
    <x v="0"/>
    <s v="小兒子1：爸爸是夜晚暴食龍"/>
    <m/>
    <d v="2025-02-09T00:00:00"/>
    <n v="177"/>
    <s v="親子天下"/>
    <m/>
    <m/>
    <m/>
    <m/>
    <n v="177"/>
    <s v=""/>
    <n v="1"/>
  </r>
  <r>
    <x v="0"/>
    <s v="一個傻蛋賣香屁"/>
    <s v="V"/>
    <d v="2024-11-05T00:00:00"/>
    <n v="102"/>
    <s v="親子天下"/>
    <n v="-133"/>
    <d v="2025-10-16T00:00:00"/>
    <m/>
    <m/>
    <n v="-31"/>
    <n v="1"/>
    <n v="1"/>
  </r>
  <r>
    <x v="0"/>
    <s v="怪傑左羅力1"/>
    <s v="V"/>
    <d v="2024-07-07T00:00:00"/>
    <n v="151.19999999999999"/>
    <s v="MOMO"/>
    <m/>
    <m/>
    <m/>
    <m/>
    <n v="151.19999999999999"/>
    <n v="1"/>
    <n v="1"/>
  </r>
  <r>
    <x v="0"/>
    <s v="怪傑左羅力2"/>
    <s v="V"/>
    <d v="2024-07-07T00:00:00"/>
    <n v="151.19999999999999"/>
    <s v="MOMO"/>
    <m/>
    <m/>
    <m/>
    <m/>
    <n v="151.19999999999999"/>
    <n v="1"/>
    <n v="1"/>
  </r>
  <r>
    <x v="0"/>
    <s v="怪傑左羅力3"/>
    <s v="V"/>
    <d v="2024-07-07T00:00:00"/>
    <n v="151.19999999999999"/>
    <s v="MOMO"/>
    <m/>
    <m/>
    <m/>
    <m/>
    <n v="151.19999999999999"/>
    <n v="1"/>
    <n v="1"/>
  </r>
  <r>
    <x v="0"/>
    <s v="怪傑左羅力4"/>
    <s v="V"/>
    <d v="2024-07-07T00:00:00"/>
    <n v="151.19999999999999"/>
    <s v="MOMO"/>
    <m/>
    <m/>
    <m/>
    <m/>
    <n v="151.19999999999999"/>
    <n v="1"/>
    <n v="1"/>
  </r>
  <r>
    <x v="0"/>
    <s v="怪傑左羅力5"/>
    <s v="V"/>
    <d v="2024-07-07T00:00:00"/>
    <n v="151.19999999999999"/>
    <s v="MOMO"/>
    <m/>
    <m/>
    <m/>
    <m/>
    <n v="151.19999999999999"/>
    <n v="1"/>
    <n v="1"/>
  </r>
  <r>
    <x v="0"/>
    <s v="怪傑左羅力6"/>
    <s v="V"/>
    <d v="2024-07-07T00:00:00"/>
    <n v="151.19999999999999"/>
    <s v="MOMO"/>
    <m/>
    <m/>
    <m/>
    <m/>
    <n v="151.19999999999999"/>
    <n v="1"/>
    <n v="1"/>
  </r>
  <r>
    <x v="0"/>
    <s v="怪傑左羅力7"/>
    <s v="V"/>
    <d v="2024-07-07T00:00:00"/>
    <n v="151.19999999999999"/>
    <s v="MOMO"/>
    <m/>
    <m/>
    <m/>
    <m/>
    <n v="151.19999999999999"/>
    <n v="1"/>
    <n v="1"/>
  </r>
  <r>
    <x v="0"/>
    <s v="怪傑左羅力8"/>
    <s v="V"/>
    <d v="2024-07-07T00:00:00"/>
    <n v="151.19999999999999"/>
    <s v="MOMO"/>
    <m/>
    <m/>
    <m/>
    <m/>
    <n v="151.19999999999999"/>
    <n v="1"/>
    <n v="1"/>
  </r>
  <r>
    <x v="0"/>
    <s v="怪傑左羅力9"/>
    <s v="V"/>
    <d v="2024-07-07T00:00:00"/>
    <n v="151.19999999999999"/>
    <s v="MOMO"/>
    <m/>
    <m/>
    <m/>
    <m/>
    <n v="151.19999999999999"/>
    <n v="1"/>
    <n v="1"/>
  </r>
  <r>
    <x v="0"/>
    <s v="怪傑左羅力10"/>
    <s v="V"/>
    <d v="2024-07-07T00:00:00"/>
    <n v="151.19999999999999"/>
    <s v="MOMO"/>
    <m/>
    <m/>
    <m/>
    <m/>
    <n v="151.19999999999999"/>
    <n v="1"/>
    <n v="1"/>
  </r>
  <r>
    <x v="0"/>
    <s v="怪傑左羅力11"/>
    <s v="V"/>
    <d v="2024-08-01T00:00:00"/>
    <n v="171.8"/>
    <s v="FB"/>
    <m/>
    <m/>
    <m/>
    <m/>
    <n v="171.8"/>
    <n v="1"/>
    <n v="1"/>
  </r>
  <r>
    <x v="0"/>
    <s v="怪傑左羅力12"/>
    <s v="V"/>
    <d v="2024-08-01T00:00:00"/>
    <n v="171.8"/>
    <s v="FB"/>
    <m/>
    <m/>
    <m/>
    <m/>
    <n v="171.8"/>
    <n v="1"/>
    <n v="1"/>
  </r>
  <r>
    <x v="0"/>
    <s v="怪傑左羅力13"/>
    <s v="V"/>
    <d v="2024-08-01T00:00:00"/>
    <n v="171.8"/>
    <s v="FB"/>
    <m/>
    <m/>
    <m/>
    <m/>
    <n v="171.8"/>
    <n v="1"/>
    <n v="1"/>
  </r>
  <r>
    <x v="0"/>
    <s v="怪傑左羅力14"/>
    <s v="V"/>
    <d v="2024-08-01T00:00:00"/>
    <n v="171.8"/>
    <s v="FB"/>
    <m/>
    <m/>
    <m/>
    <m/>
    <n v="171.8"/>
    <n v="1"/>
    <n v="1"/>
  </r>
  <r>
    <x v="0"/>
    <s v="怪傑左羅力15"/>
    <s v="V"/>
    <d v="2024-08-01T00:00:00"/>
    <n v="171.8"/>
    <s v="FB"/>
    <m/>
    <m/>
    <m/>
    <m/>
    <n v="171.8"/>
    <n v="1"/>
    <n v="1"/>
  </r>
  <r>
    <x v="0"/>
    <s v="怪傑左羅力16"/>
    <s v="V"/>
    <d v="2024-08-01T00:00:00"/>
    <n v="171.8"/>
    <s v="FB"/>
    <m/>
    <m/>
    <m/>
    <m/>
    <n v="171.8"/>
    <n v="1"/>
    <n v="1"/>
  </r>
  <r>
    <x v="0"/>
    <s v="怪傑左羅力17"/>
    <s v="V"/>
    <d v="2024-08-01T00:00:00"/>
    <n v="171.8"/>
    <s v="FB"/>
    <m/>
    <m/>
    <m/>
    <m/>
    <n v="171.8"/>
    <n v="1"/>
    <n v="1"/>
  </r>
  <r>
    <x v="0"/>
    <s v="怪傑左羅力18"/>
    <s v="V"/>
    <d v="2024-08-01T00:00:00"/>
    <n v="171.8"/>
    <s v="FB"/>
    <m/>
    <m/>
    <m/>
    <m/>
    <n v="171.8"/>
    <n v="1"/>
    <n v="1"/>
  </r>
  <r>
    <x v="0"/>
    <s v="怪傑左羅力19"/>
    <s v="V"/>
    <d v="2024-08-01T00:00:00"/>
    <n v="171.8"/>
    <s v="FB"/>
    <m/>
    <m/>
    <m/>
    <m/>
    <n v="171.8"/>
    <n v="1"/>
    <n v="1"/>
  </r>
  <r>
    <x v="0"/>
    <s v="怪傑左羅力20"/>
    <s v="V"/>
    <d v="2024-08-01T00:00:00"/>
    <n v="171.8"/>
    <s v="FB"/>
    <m/>
    <m/>
    <m/>
    <m/>
    <n v="171.8"/>
    <n v="1"/>
    <n v="1"/>
  </r>
  <r>
    <x v="0"/>
    <s v="怪傑左羅力21"/>
    <s v="V"/>
    <d v="2024-11-05T00:00:00"/>
    <n v="128"/>
    <s v="親子天下"/>
    <m/>
    <m/>
    <m/>
    <m/>
    <n v="128"/>
    <n v="1"/>
    <n v="1"/>
  </r>
  <r>
    <x v="0"/>
    <s v="怪傑左羅力22"/>
    <s v="V"/>
    <d v="2024-11-05T00:00:00"/>
    <n v="128"/>
    <s v="親子天下"/>
    <m/>
    <m/>
    <m/>
    <m/>
    <n v="128"/>
    <n v="1"/>
    <n v="1"/>
  </r>
  <r>
    <x v="0"/>
    <s v="怪傑左羅力23"/>
    <s v="V"/>
    <d v="2024-11-05T00:00:00"/>
    <n v="127"/>
    <s v="親子天下"/>
    <m/>
    <m/>
    <m/>
    <m/>
    <n v="127"/>
    <n v="1"/>
    <n v="1"/>
  </r>
  <r>
    <x v="0"/>
    <s v="怪傑左羅力24"/>
    <s v="V"/>
    <d v="2024-11-05T00:00:00"/>
    <n v="126"/>
    <s v="親子天下"/>
    <m/>
    <m/>
    <m/>
    <m/>
    <n v="126"/>
    <n v="1"/>
    <n v="1"/>
  </r>
  <r>
    <x v="0"/>
    <s v="怪傑左羅力25"/>
    <s v="V"/>
    <d v="2024-11-05T00:00:00"/>
    <n v="125"/>
    <s v="親子天下"/>
    <m/>
    <m/>
    <m/>
    <m/>
    <n v="125"/>
    <n v="1"/>
    <n v="1"/>
  </r>
  <r>
    <x v="0"/>
    <s v="怪傑左羅力26"/>
    <s v="V"/>
    <d v="2025-01-14T00:00:00"/>
    <n v="158"/>
    <s v="親子天下"/>
    <m/>
    <m/>
    <m/>
    <m/>
    <n v="158"/>
    <n v="1"/>
    <n v="1"/>
  </r>
  <r>
    <x v="0"/>
    <s v="怪傑左羅力27"/>
    <s v="V"/>
    <d v="2025-01-14T00:00:00"/>
    <n v="157"/>
    <s v="親子天下"/>
    <m/>
    <m/>
    <m/>
    <m/>
    <n v="157"/>
    <n v="1"/>
    <n v="1"/>
  </r>
  <r>
    <x v="0"/>
    <s v="怪傑左羅力28"/>
    <s v="V"/>
    <d v="2025-01-14T00:00:00"/>
    <n v="174"/>
    <s v="親子天下"/>
    <m/>
    <m/>
    <m/>
    <m/>
    <n v="174"/>
    <n v="1"/>
    <n v="1"/>
  </r>
  <r>
    <x v="0"/>
    <s v="怪傑左羅力29"/>
    <s v="V"/>
    <d v="2025-01-14T00:00:00"/>
    <n v="174"/>
    <s v="親子天下"/>
    <m/>
    <m/>
    <m/>
    <m/>
    <n v="174"/>
    <n v="1"/>
    <n v="1"/>
  </r>
  <r>
    <x v="0"/>
    <s v="怪傑左羅力30"/>
    <s v="V"/>
    <d v="2025-01-14T00:00:00"/>
    <n v="174"/>
    <s v="親子天下"/>
    <m/>
    <m/>
    <m/>
    <m/>
    <n v="174"/>
    <n v="1"/>
    <n v="1"/>
  </r>
  <r>
    <x v="0"/>
    <s v="怪傑左羅力31"/>
    <s v="V"/>
    <d v="2025-01-14T00:00:00"/>
    <n v="174"/>
    <s v="親子天下"/>
    <m/>
    <m/>
    <m/>
    <m/>
    <n v="174"/>
    <n v="1"/>
    <n v="1"/>
  </r>
  <r>
    <x v="0"/>
    <s v="怪傑左羅力32"/>
    <s v="V"/>
    <d v="2025-01-14T00:00:00"/>
    <n v="183"/>
    <s v="親子天下"/>
    <m/>
    <m/>
    <m/>
    <m/>
    <n v="183"/>
    <n v="1"/>
    <n v="1"/>
  </r>
  <r>
    <x v="0"/>
    <s v="怪傑左羅力33"/>
    <s v="V"/>
    <d v="2025-01-14T00:00:00"/>
    <n v="182"/>
    <s v="親子天下"/>
    <m/>
    <m/>
    <m/>
    <m/>
    <n v="182"/>
    <n v="1"/>
    <n v="1"/>
  </r>
  <r>
    <x v="0"/>
    <s v="怪傑左羅力34"/>
    <s v="V"/>
    <d v="2025-01-14T00:00:00"/>
    <n v="182"/>
    <s v="親子天下"/>
    <m/>
    <m/>
    <m/>
    <m/>
    <n v="182"/>
    <n v="1"/>
    <n v="1"/>
  </r>
  <r>
    <x v="0"/>
    <s v="怪傑左羅力35"/>
    <s v="V"/>
    <d v="2025-01-14T00:00:00"/>
    <n v="182"/>
    <s v="親子天下"/>
    <m/>
    <m/>
    <m/>
    <m/>
    <n v="182"/>
    <n v="1"/>
    <n v="1"/>
  </r>
  <r>
    <x v="0"/>
    <s v="怪傑左羅力36"/>
    <s v="V"/>
    <d v="2025-01-14T00:00:00"/>
    <n v="182"/>
    <s v="親子天下"/>
    <m/>
    <m/>
    <m/>
    <m/>
    <n v="182"/>
    <n v="1"/>
    <n v="1"/>
  </r>
  <r>
    <x v="0"/>
    <s v="怪傑左羅力37"/>
    <s v="V"/>
    <d v="2025-02-09T00:00:00"/>
    <n v="204"/>
    <s v="親子天下"/>
    <m/>
    <m/>
    <m/>
    <m/>
    <n v="204"/>
    <n v="1"/>
    <n v="1"/>
  </r>
  <r>
    <x v="0"/>
    <s v="怪傑左羅力38"/>
    <s v="V"/>
    <d v="2025-02-09T00:00:00"/>
    <n v="179"/>
    <s v="親子天下"/>
    <m/>
    <m/>
    <m/>
    <m/>
    <n v="179"/>
    <n v="1"/>
    <n v="1"/>
  </r>
  <r>
    <x v="0"/>
    <s v="怪傑左羅力39"/>
    <s v="V"/>
    <d v="2025-02-09T00:00:00"/>
    <n v="179"/>
    <s v="親子天下"/>
    <m/>
    <m/>
    <m/>
    <m/>
    <n v="179"/>
    <n v="1"/>
    <n v="1"/>
  </r>
  <r>
    <x v="0"/>
    <s v="怪傑左羅力40"/>
    <s v="V"/>
    <d v="2025-02-09T00:00:00"/>
    <n v="179"/>
    <s v="親子天下"/>
    <m/>
    <m/>
    <m/>
    <m/>
    <n v="179"/>
    <n v="1"/>
    <n v="1"/>
  </r>
  <r>
    <x v="0"/>
    <s v="怪傑左羅力41"/>
    <s v="V"/>
    <d v="2025-02-09T00:00:00"/>
    <n v="176.8"/>
    <s v="親子天下"/>
    <m/>
    <m/>
    <m/>
    <m/>
    <n v="176.8"/>
    <n v="1"/>
    <n v="1"/>
  </r>
  <r>
    <x v="0"/>
    <s v="怪傑左羅力42"/>
    <s v="V"/>
    <d v="2025-02-09T00:00:00"/>
    <n v="176.8"/>
    <s v="親子天下"/>
    <m/>
    <m/>
    <m/>
    <m/>
    <n v="176.8"/>
    <n v="1"/>
    <n v="1"/>
  </r>
  <r>
    <x v="0"/>
    <s v="怪傑左羅力43"/>
    <s v="V"/>
    <d v="2025-02-09T00:00:00"/>
    <n v="176.8"/>
    <s v="親子天下"/>
    <m/>
    <m/>
    <m/>
    <m/>
    <n v="176.8"/>
    <n v="1"/>
    <n v="1"/>
  </r>
  <r>
    <x v="0"/>
    <s v="怪傑左羅力44"/>
    <s v="V"/>
    <d v="2025-02-09T00:00:00"/>
    <n v="176.8"/>
    <s v="親子天下"/>
    <m/>
    <m/>
    <m/>
    <m/>
    <n v="176.8"/>
    <n v="1"/>
    <n v="1"/>
  </r>
  <r>
    <x v="0"/>
    <s v="怪傑左羅力45"/>
    <s v="V"/>
    <d v="2025-02-09T00:00:00"/>
    <n v="176.8"/>
    <s v="親子天下"/>
    <m/>
    <m/>
    <m/>
    <m/>
    <n v="176.8"/>
    <n v="1"/>
    <n v="1"/>
  </r>
  <r>
    <x v="0"/>
    <s v="怪傑左羅力46"/>
    <s v="V"/>
    <d v="2025-02-09T00:00:00"/>
    <n v="178.2"/>
    <s v="親子天下"/>
    <m/>
    <m/>
    <m/>
    <m/>
    <n v="178.2"/>
    <n v="1"/>
    <n v="1"/>
  </r>
  <r>
    <x v="0"/>
    <s v="怪傑左羅力47"/>
    <s v="V"/>
    <d v="2025-02-09T00:00:00"/>
    <n v="178.2"/>
    <s v="親子天下"/>
    <m/>
    <m/>
    <m/>
    <m/>
    <n v="178.2"/>
    <n v="1"/>
    <n v="1"/>
  </r>
  <r>
    <x v="0"/>
    <s v="怪傑左羅力48"/>
    <s v="V"/>
    <d v="2025-02-09T00:00:00"/>
    <n v="178.2"/>
    <s v="親子天下"/>
    <m/>
    <m/>
    <m/>
    <m/>
    <n v="178.2"/>
    <n v="1"/>
    <n v="1"/>
  </r>
  <r>
    <x v="0"/>
    <s v="怪傑左羅力49"/>
    <s v="V"/>
    <d v="2025-02-09T00:00:00"/>
    <n v="178.2"/>
    <s v="親子天下"/>
    <m/>
    <m/>
    <m/>
    <m/>
    <n v="178.2"/>
    <n v="1"/>
    <n v="1"/>
  </r>
  <r>
    <x v="0"/>
    <s v="怪傑左羅力50"/>
    <s v="V"/>
    <d v="2025-02-09T00:00:00"/>
    <n v="178.2"/>
    <s v="親子天下"/>
    <m/>
    <m/>
    <m/>
    <m/>
    <n v="178.2"/>
    <n v="1"/>
    <n v="1"/>
  </r>
  <r>
    <x v="0"/>
    <s v="怪傑佐羅力51"/>
    <s v="V"/>
    <d v="2025-10-01T00:00:00"/>
    <n v="173"/>
    <s v="親子天下"/>
    <m/>
    <m/>
    <d v="2026-01-24T00:00:00"/>
    <s v="使用6700點及優惠券100元"/>
    <n v="173"/>
    <n v="1"/>
    <n v="1"/>
  </r>
  <r>
    <x v="0"/>
    <s v="怪傑佐羅力52"/>
    <s v="V"/>
    <d v="2025-10-01T00:00:00"/>
    <n v="172"/>
    <s v="親子天下"/>
    <m/>
    <m/>
    <d v="2026-01-18T00:00:00"/>
    <s v="使用6700點及優惠券100元"/>
    <n v="172"/>
    <n v="1"/>
    <n v="1"/>
  </r>
  <r>
    <x v="0"/>
    <s v="怪傑佐羅力53"/>
    <s v="V"/>
    <d v="2025-10-01T00:00:00"/>
    <n v="171"/>
    <s v="親子天下"/>
    <m/>
    <m/>
    <d v="2026-01-21T00:00:00"/>
    <s v="使用6700點及優惠券100元"/>
    <n v="171"/>
    <n v="1"/>
    <n v="1"/>
  </r>
  <r>
    <x v="0"/>
    <s v="怪傑佐羅力54"/>
    <s v="V"/>
    <d v="2025-10-01T00:00:00"/>
    <n v="171"/>
    <s v="親子天下"/>
    <m/>
    <m/>
    <d v="2025-11-08T00:00:00"/>
    <s v="使用6700點及優惠券100元"/>
    <n v="171"/>
    <n v="1"/>
    <n v="1"/>
  </r>
  <r>
    <x v="0"/>
    <s v="怪傑佐羅力55"/>
    <s v="V"/>
    <d v="2025-10-01T00:00:00"/>
    <n v="171"/>
    <s v="親子天下"/>
    <m/>
    <m/>
    <m/>
    <s v="使用6700點及優惠券100元"/>
    <n v="171"/>
    <n v="1"/>
    <n v="1"/>
  </r>
  <r>
    <x v="0"/>
    <s v="怪傑佐羅力56"/>
    <s v="V"/>
    <d v="2025-10-11T00:00:00"/>
    <n v="179"/>
    <s v="親子天下"/>
    <m/>
    <m/>
    <d v="2026-01-23T00:00:00"/>
    <s v="優惠券100元"/>
    <n v="179"/>
    <n v="1"/>
    <n v="1"/>
  </r>
  <r>
    <x v="0"/>
    <s v="怪傑佐羅力57"/>
    <s v="V"/>
    <d v="2025-10-11T00:00:00"/>
    <n v="179"/>
    <s v="親子天下"/>
    <m/>
    <m/>
    <d v="2025-12-03T00:00:00"/>
    <s v="優惠券100元"/>
    <n v="179"/>
    <n v="1"/>
    <n v="1"/>
  </r>
  <r>
    <x v="0"/>
    <s v="怪傑佐羅力58"/>
    <s v="V"/>
    <d v="2025-10-11T00:00:00"/>
    <n v="178"/>
    <s v="親子天下"/>
    <m/>
    <m/>
    <d v="2025-11-04T00:00:00"/>
    <s v="優惠券100元"/>
    <n v="178"/>
    <n v="1"/>
    <n v="1"/>
  </r>
  <r>
    <x v="0"/>
    <s v="怪傑佐羅力59"/>
    <s v="V"/>
    <d v="2025-10-11T00:00:00"/>
    <n v="178"/>
    <s v="親子天下"/>
    <m/>
    <m/>
    <d v="2026-03-07T00:00:00"/>
    <s v="優惠券100元"/>
    <n v="178"/>
    <n v="1"/>
    <n v="1"/>
  </r>
  <r>
    <x v="0"/>
    <s v="怪傑佐羅力60"/>
    <s v="V"/>
    <d v="2025-10-11T00:00:00"/>
    <n v="189"/>
    <s v="親子天下"/>
    <m/>
    <m/>
    <d v="2025-10-09T00:00:00"/>
    <s v="優惠券100元"/>
    <n v="189"/>
    <n v="1"/>
    <n v="1"/>
  </r>
  <r>
    <x v="0"/>
    <s v="君偉上小學1"/>
    <s v="V"/>
    <d v="2024-10-27T00:00:00"/>
    <n v="230"/>
    <s v="親子天下"/>
    <n v="-184.66666666666666"/>
    <d v="2025-09-20T00:00:00"/>
    <m/>
    <m/>
    <n v="45.333333333333343"/>
    <n v="1"/>
    <n v="1"/>
  </r>
  <r>
    <x v="0"/>
    <s v="君偉上小學2"/>
    <s v="V"/>
    <d v="2024-10-27T00:00:00"/>
    <n v="230"/>
    <s v="親子天下"/>
    <n v="-184.66666666666666"/>
    <d v="2025-09-20T00:00:00"/>
    <m/>
    <m/>
    <n v="45.333333333333343"/>
    <n v="1"/>
    <n v="1"/>
  </r>
  <r>
    <x v="0"/>
    <s v="君偉上小學3"/>
    <s v="V"/>
    <d v="2024-10-27T00:00:00"/>
    <n v="229"/>
    <s v="親子天下"/>
    <n v="-184.66666666666666"/>
    <d v="2025-09-20T00:00:00"/>
    <m/>
    <m/>
    <n v="44.333333333333343"/>
    <n v="1"/>
    <n v="1"/>
  </r>
  <r>
    <x v="0"/>
    <s v="君偉上小學4"/>
    <s v="V"/>
    <d v="2024-10-27T00:00:00"/>
    <n v="228"/>
    <s v="親子天下"/>
    <n v="-184.66666666666666"/>
    <d v="2025-09-20T00:00:00"/>
    <m/>
    <m/>
    <n v="43.333333333333343"/>
    <n v="1"/>
    <n v="1"/>
  </r>
  <r>
    <x v="0"/>
    <s v="君偉上小學5"/>
    <s v="V"/>
    <d v="2024-10-27T00:00:00"/>
    <n v="228"/>
    <s v="親子天下"/>
    <n v="-184.66666666666666"/>
    <d v="2025-09-20T00:00:00"/>
    <m/>
    <m/>
    <n v="43.333333333333343"/>
    <n v="1"/>
    <n v="1"/>
  </r>
  <r>
    <x v="0"/>
    <s v="君偉上小學6"/>
    <s v="V"/>
    <d v="2024-10-27T00:00:00"/>
    <n v="228"/>
    <s v="親子天下"/>
    <n v="-184.66666666666666"/>
    <d v="2025-09-20T00:00:00"/>
    <m/>
    <m/>
    <n v="43.333333333333343"/>
    <n v="1"/>
    <n v="1"/>
  </r>
  <r>
    <x v="0"/>
    <s v="爆笑小火龍套書1"/>
    <s v="V"/>
    <d v="2024-10-27T00:00:00"/>
    <n v="191.71428571428572"/>
    <s v="親子天下"/>
    <n v="-155"/>
    <d v="2025-10-11T00:00:00"/>
    <d v="2025-10-06T00:00:00"/>
    <m/>
    <n v="36.714285714285722"/>
    <n v="1"/>
    <n v="1"/>
  </r>
  <r>
    <x v="0"/>
    <s v="爆笑小火龍套書2"/>
    <s v="V"/>
    <d v="2024-10-27T00:00:00"/>
    <n v="191.71428571428572"/>
    <s v="親子天下"/>
    <n v="-155"/>
    <d v="2025-10-11T00:00:00"/>
    <d v="2025-10-06T00:00:00"/>
    <m/>
    <n v="36.714285714285722"/>
    <n v="1"/>
    <n v="1"/>
  </r>
  <r>
    <x v="0"/>
    <s v="爆笑小火龍套書3"/>
    <s v="V"/>
    <d v="2024-10-27T00:00:00"/>
    <n v="191.71428571428572"/>
    <s v="親子天下"/>
    <n v="-155"/>
    <d v="2025-10-11T00:00:00"/>
    <d v="2025-10-11T00:00:00"/>
    <m/>
    <n v="36.714285714285722"/>
    <n v="1"/>
    <n v="1"/>
  </r>
  <r>
    <x v="0"/>
    <s v="爆笑小火龍套書4"/>
    <s v="V"/>
    <d v="2024-10-27T00:00:00"/>
    <n v="191.71428571428572"/>
    <s v="親子天下"/>
    <n v="-155"/>
    <d v="2025-10-11T00:00:00"/>
    <d v="2025-10-07T00:00:00"/>
    <m/>
    <n v="36.714285714285722"/>
    <n v="1"/>
    <n v="1"/>
  </r>
  <r>
    <x v="0"/>
    <s v="爆笑小火龍套書5"/>
    <s v="V"/>
    <d v="2024-10-27T00:00:00"/>
    <n v="191.71428571428572"/>
    <s v="親子天下"/>
    <n v="-155"/>
    <d v="2025-10-11T00:00:00"/>
    <d v="2025-10-11T00:00:00"/>
    <m/>
    <n v="36.714285714285722"/>
    <n v="1"/>
    <n v="1"/>
  </r>
  <r>
    <x v="0"/>
    <s v="爆笑小火龍套書6"/>
    <s v="V"/>
    <d v="2024-10-27T00:00:00"/>
    <n v="191.71428571428572"/>
    <s v="親子天下"/>
    <n v="-155"/>
    <d v="2025-10-11T00:00:00"/>
    <d v="2025-10-10T00:00:00"/>
    <m/>
    <n v="36.714285714285722"/>
    <n v="1"/>
    <n v="1"/>
  </r>
  <r>
    <x v="0"/>
    <s v="爆笑小火龍套書7"/>
    <s v="V"/>
    <d v="2024-10-27T00:00:00"/>
    <n v="191.71428571428572"/>
    <s v="親子天下"/>
    <n v="-155"/>
    <d v="2025-10-11T00:00:00"/>
    <d v="2025-10-05T00:00:00"/>
    <m/>
    <n v="36.714285714285722"/>
    <n v="1"/>
    <n v="1"/>
  </r>
  <r>
    <x v="0"/>
    <s v="我家套書1-我家有個遊樂園"/>
    <s v="V"/>
    <d v="2024-10-27T00:00:00"/>
    <n v="157.6"/>
    <s v="親子天下"/>
    <m/>
    <m/>
    <m/>
    <m/>
    <n v="157.6"/>
    <n v="1"/>
    <n v="1"/>
  </r>
  <r>
    <x v="0"/>
    <s v="我家套書2-我家有個花果菜園"/>
    <s v="V"/>
    <d v="2024-10-27T00:00:00"/>
    <n v="157.6"/>
    <s v="親子天下"/>
    <m/>
    <m/>
    <d v="2025-12-07T00:00:00"/>
    <m/>
    <n v="157.6"/>
    <n v="1"/>
    <n v="1"/>
  </r>
  <r>
    <x v="0"/>
    <s v="我家套書3-我家有個烏龜園"/>
    <s v="V"/>
    <d v="2024-10-27T00:00:00"/>
    <n v="157.6"/>
    <s v="親子天下"/>
    <m/>
    <m/>
    <d v="2025-11-30T00:00:00"/>
    <m/>
    <n v="157.6"/>
    <n v="1"/>
    <n v="1"/>
  </r>
  <r>
    <x v="0"/>
    <s v="我家套書4-我家蓋了新房子"/>
    <s v="V"/>
    <d v="2024-10-27T00:00:00"/>
    <n v="157.6"/>
    <s v="親子天下"/>
    <m/>
    <m/>
    <m/>
    <m/>
    <n v="157.6"/>
    <n v="1"/>
    <n v="1"/>
  </r>
  <r>
    <x v="0"/>
    <s v="我家套書5-我家的美味時間"/>
    <s v="V"/>
    <d v="2024-10-27T00:00:00"/>
    <n v="157.6"/>
    <s v="親子天下"/>
    <m/>
    <m/>
    <d v="2025-12-06T00:00:00"/>
    <m/>
    <n v="157.6"/>
    <n v="1"/>
    <n v="1"/>
  </r>
  <r>
    <x v="0"/>
    <s v="微生物的小秘密1"/>
    <s v="V"/>
    <d v="2025-06-09T00:00:00"/>
    <n v="201.5"/>
    <s v="MOMO"/>
    <m/>
    <m/>
    <m/>
    <m/>
    <n v="201.5"/>
    <n v="1"/>
    <n v="1"/>
  </r>
  <r>
    <x v="0"/>
    <s v="微生物的小秘密2"/>
    <s v="V"/>
    <d v="2025-06-09T00:00:00"/>
    <n v="201.5"/>
    <s v="MOMO"/>
    <m/>
    <m/>
    <m/>
    <m/>
    <n v="201.5"/>
    <n v="1"/>
    <n v="1"/>
  </r>
  <r>
    <x v="0"/>
    <s v="微生物的小秘密3"/>
    <s v="V"/>
    <d v="2025-06-09T00:00:00"/>
    <n v="201.5"/>
    <s v="MOMO"/>
    <m/>
    <m/>
    <d v="2025-10-17T00:00:00"/>
    <m/>
    <n v="201.5"/>
    <n v="1"/>
    <n v="1"/>
  </r>
  <r>
    <x v="0"/>
    <s v="微生物的小秘密4"/>
    <s v="V"/>
    <d v="2025-06-09T00:00:00"/>
    <n v="201.5"/>
    <s v="MOMO"/>
    <m/>
    <m/>
    <d v="2025-10-18T00:00:00"/>
    <m/>
    <n v="201.5"/>
    <n v="1"/>
    <n v="1"/>
  </r>
  <r>
    <x v="0"/>
    <s v="奇想西遊記1"/>
    <s v="V"/>
    <d v="2024-11-10T00:00:00"/>
    <n v="155.5"/>
    <s v="MOMO"/>
    <n v="-141.5"/>
    <d v="2025-10-25T00:00:00"/>
    <m/>
    <s v="雙11"/>
    <n v="14"/>
    <n v="1"/>
    <n v="1"/>
  </r>
  <r>
    <x v="0"/>
    <s v="奇想西遊記2"/>
    <s v="V"/>
    <d v="2024-11-10T00:00:00"/>
    <n v="155.5"/>
    <s v="MOMO"/>
    <n v="-141.5"/>
    <d v="2025-10-25T00:00:00"/>
    <d v="2025-09-04T00:00:00"/>
    <s v="雙11"/>
    <n v="14"/>
    <n v="1"/>
    <n v="1"/>
  </r>
  <r>
    <x v="0"/>
    <s v="奇想西遊記3"/>
    <s v="V"/>
    <d v="2024-11-10T00:00:00"/>
    <n v="155.5"/>
    <s v="MOMO"/>
    <n v="-141.5"/>
    <d v="2025-10-25T00:00:00"/>
    <d v="2025-09-12T00:00:00"/>
    <s v="雙11"/>
    <n v="14"/>
    <n v="1"/>
    <n v="1"/>
  </r>
  <r>
    <x v="0"/>
    <s v="奇想西遊記4"/>
    <s v="V"/>
    <d v="2024-11-10T00:00:00"/>
    <n v="155.5"/>
    <s v="MOMO"/>
    <n v="-141.5"/>
    <d v="2025-10-25T00:00:00"/>
    <d v="2025-09-21T00:00:00"/>
    <s v="雙11"/>
    <n v="14"/>
    <n v="1"/>
    <n v="1"/>
  </r>
  <r>
    <x v="0"/>
    <s v="山雨小學2：生氣王子番外篇"/>
    <s v="V"/>
    <d v="2024-05-13T00:00:00"/>
    <n v="259.5"/>
    <s v="其他"/>
    <n v="-176"/>
    <m/>
    <m/>
    <m/>
    <n v="83.5"/>
    <n v="1"/>
    <n v="1"/>
  </r>
  <r>
    <x v="0"/>
    <s v="山雨小學1：愛哭公主番外篇"/>
    <s v="V"/>
    <d v="2024-05-13T00:00:00"/>
    <n v="259.5"/>
    <s v="其他"/>
    <n v="-176"/>
    <m/>
    <m/>
    <m/>
    <n v="83.5"/>
    <n v="1"/>
    <n v="1"/>
  </r>
  <r>
    <x v="0"/>
    <s v="愛思考的貓巧可1"/>
    <s v="V"/>
    <d v="2023-06-25T00:00:00"/>
    <n v="156.19999999999999"/>
    <s v="誠品"/>
    <n v="-123"/>
    <m/>
    <m/>
    <m/>
    <n v="33.199999999999989"/>
    <n v="1"/>
    <n v="1"/>
  </r>
  <r>
    <x v="0"/>
    <s v="愛思考的貓巧可2"/>
    <s v="V"/>
    <d v="2023-06-25T00:00:00"/>
    <n v="156.19999999999999"/>
    <s v="誠品"/>
    <n v="-123"/>
    <m/>
    <m/>
    <m/>
    <n v="33.199999999999989"/>
    <n v="1"/>
    <n v="1"/>
  </r>
  <r>
    <x v="0"/>
    <s v="愛思考的貓巧可3"/>
    <s v="V"/>
    <d v="2023-06-25T00:00:00"/>
    <n v="156.19999999999999"/>
    <s v="誠品"/>
    <n v="-123"/>
    <m/>
    <m/>
    <m/>
    <n v="33.199999999999989"/>
    <n v="1"/>
    <n v="1"/>
  </r>
  <r>
    <x v="0"/>
    <s v="愛思考的貓巧可4"/>
    <s v="V"/>
    <d v="2023-06-25T00:00:00"/>
    <n v="156.19999999999999"/>
    <s v="誠品"/>
    <n v="-123"/>
    <m/>
    <m/>
    <m/>
    <n v="33.199999999999989"/>
    <n v="1"/>
    <n v="1"/>
  </r>
  <r>
    <x v="0"/>
    <s v="愛思考的貓巧可5"/>
    <s v="V"/>
    <d v="2023-06-25T00:00:00"/>
    <n v="156.19999999999999"/>
    <s v="誠品"/>
    <n v="-123"/>
    <m/>
    <m/>
    <m/>
    <n v="33.199999999999989"/>
    <n v="1"/>
    <n v="1"/>
  </r>
  <r>
    <x v="0"/>
    <s v="字的傳奇1"/>
    <s v="V"/>
    <d v="2023-08-30T00:00:00"/>
    <n v="192.8"/>
    <s v="親子天下"/>
    <n v="-155.4"/>
    <d v="2025-11-04T00:00:00"/>
    <d v="2025-09-02T00:00:00"/>
    <m/>
    <n v="37.400000000000006"/>
    <n v="1"/>
    <n v="1"/>
  </r>
  <r>
    <x v="0"/>
    <s v="字的傳奇2"/>
    <s v="V"/>
    <d v="2023-08-30T00:00:00"/>
    <n v="192.8"/>
    <s v="親子天下"/>
    <n v="-155.4"/>
    <d v="2025-11-04T00:00:00"/>
    <d v="2025-09-21T00:00:00"/>
    <m/>
    <n v="37.400000000000006"/>
    <n v="1"/>
    <n v="1"/>
  </r>
  <r>
    <x v="0"/>
    <s v="字的傳奇3"/>
    <s v="V"/>
    <d v="2023-08-30T00:00:00"/>
    <n v="192.8"/>
    <s v="親子天下"/>
    <n v="-155.4"/>
    <d v="2025-11-04T00:00:00"/>
    <d v="2025-09-28T00:00:00"/>
    <m/>
    <n v="37.400000000000006"/>
    <n v="1"/>
    <n v="1"/>
  </r>
  <r>
    <x v="0"/>
    <s v="字的傳奇4"/>
    <s v="V"/>
    <d v="2023-08-30T00:00:00"/>
    <n v="192.8"/>
    <s v="親子天下"/>
    <n v="-155.4"/>
    <d v="2025-11-04T00:00:00"/>
    <d v="2025-09-29T00:00:00"/>
    <m/>
    <n v="37.400000000000006"/>
    <n v="1"/>
    <n v="1"/>
  </r>
  <r>
    <x v="0"/>
    <s v="字的傳奇5"/>
    <s v="V"/>
    <d v="2023-08-30T00:00:00"/>
    <n v="192.8"/>
    <s v="親子天下"/>
    <n v="-155.4"/>
    <d v="2025-11-04T00:00:00"/>
    <d v="2025-10-03T00:00:00"/>
    <m/>
    <n v="37.400000000000006"/>
    <n v="1"/>
    <n v="1"/>
  </r>
  <r>
    <x v="1"/>
    <s v="給小學生的環境自然課"/>
    <s v="V"/>
    <d v="2025-10-20T00:00:00"/>
    <n v="0"/>
    <s v="團書"/>
    <m/>
    <m/>
    <m/>
    <m/>
    <n v="0"/>
    <n v="1"/>
    <n v="1"/>
  </r>
  <r>
    <x v="1"/>
    <s v="101種書的使用方法"/>
    <m/>
    <d v="2025-10-20T00:00:00"/>
    <n v="0"/>
    <s v="團書"/>
    <m/>
    <m/>
    <m/>
    <m/>
    <n v="0"/>
    <s v=""/>
    <n v="1"/>
  </r>
  <r>
    <x v="1"/>
    <s v="生活素養小學堂1"/>
    <m/>
    <d v="2025-10-20T00:00:00"/>
    <n v="220.75"/>
    <s v="團書"/>
    <m/>
    <m/>
    <m/>
    <s v="已9折後再折50元"/>
    <n v="220.75"/>
    <s v=""/>
    <n v="1"/>
  </r>
  <r>
    <x v="1"/>
    <s v="生活素養小學堂2"/>
    <m/>
    <d v="2025-10-20T00:00:00"/>
    <n v="220.75"/>
    <s v="團書"/>
    <m/>
    <m/>
    <m/>
    <s v="已9折後再折50元"/>
    <n v="220.75"/>
    <s v=""/>
    <n v="1"/>
  </r>
  <r>
    <x v="1"/>
    <s v="生活素養小學堂3"/>
    <m/>
    <d v="2025-10-20T00:00:00"/>
    <n v="220.75"/>
    <s v="團書"/>
    <m/>
    <m/>
    <m/>
    <s v="已9折後再折50元"/>
    <n v="220.75"/>
    <s v=""/>
    <n v="1"/>
  </r>
  <r>
    <x v="1"/>
    <s v="生活素養小學堂4"/>
    <m/>
    <d v="2025-10-20T00:00:00"/>
    <n v="220.75"/>
    <s v="團書"/>
    <m/>
    <m/>
    <m/>
    <s v="已9折後再折50元"/>
    <n v="220.75"/>
    <s v=""/>
    <n v="1"/>
  </r>
  <r>
    <x v="1"/>
    <s v="科學小偵探1-神秘島的謎團"/>
    <s v="V"/>
    <d v="2025-10-20T00:00:00"/>
    <n v="202.66666666666666"/>
    <s v="團書"/>
    <m/>
    <m/>
    <d v="2025-12-28T00:00:00"/>
    <s v="已9折後再折50元"/>
    <n v="202.66666666666666"/>
    <n v="1"/>
    <n v="1"/>
  </r>
  <r>
    <x v="1"/>
    <s v="科學小偵探2-勇闖科學樂園"/>
    <s v="V"/>
    <d v="2025-10-20T00:00:00"/>
    <n v="202.66666666666666"/>
    <s v="團書"/>
    <m/>
    <m/>
    <d v="2026-01-01T00:00:00"/>
    <s v="已9折後再折50元"/>
    <n v="202.66666666666666"/>
    <n v="1"/>
    <n v="1"/>
  </r>
  <r>
    <x v="1"/>
    <s v="科學小偵探3-抓住神秘怪盜"/>
    <s v="V"/>
    <d v="2025-10-20T00:00:00"/>
    <n v="202.66666666666666"/>
    <s v="團書"/>
    <m/>
    <m/>
    <d v="2026-03-17T00:00:00"/>
    <s v="已9折後再折50元"/>
    <n v="202.66666666666666"/>
    <n v="1"/>
    <n v="1"/>
  </r>
  <r>
    <x v="1"/>
    <s v="小學生的腦科學漫畫-人類探索研究小隊1"/>
    <m/>
    <d v="2025-10-20T00:00:00"/>
    <n v="203"/>
    <s v="團書"/>
    <m/>
    <m/>
    <m/>
    <s v="已9折後再折50元"/>
    <n v="203"/>
    <s v=""/>
    <n v="1"/>
  </r>
  <r>
    <x v="1"/>
    <s v="小學生的腦科學漫畫-人類探索研究小隊2"/>
    <m/>
    <d v="2025-10-20T00:00:00"/>
    <n v="203"/>
    <s v="團書"/>
    <m/>
    <m/>
    <m/>
    <s v="已9折後再折50元"/>
    <n v="203"/>
    <s v=""/>
    <n v="1"/>
  </r>
  <r>
    <x v="1"/>
    <s v="小學生的腦科學漫畫-人類探索研究小隊3 為什麼人有這麼多情緒？"/>
    <s v="V"/>
    <d v="2025-10-20T00:00:00"/>
    <n v="203"/>
    <s v="團書"/>
    <m/>
    <m/>
    <d v="2025-12-24T00:00:00"/>
    <s v="已9折後再折50元"/>
    <n v="203"/>
    <n v="1"/>
    <n v="1"/>
  </r>
  <r>
    <x v="1"/>
    <s v="操場底下的100層樓學校1"/>
    <s v="V"/>
    <d v="2025-04-07T00:00:00"/>
    <n v="115.19999999999999"/>
    <s v="博客來"/>
    <m/>
    <m/>
    <m/>
    <m/>
    <n v="115.19999999999999"/>
    <n v="1"/>
    <n v="1"/>
  </r>
  <r>
    <x v="1"/>
    <s v="操場底下的100層樓學校2"/>
    <s v="V"/>
    <d v="2025-04-07T00:00:00"/>
    <n v="115.19999999999999"/>
    <s v="博客來"/>
    <m/>
    <m/>
    <d v="2025-12-18T00:00:00"/>
    <m/>
    <n v="115.19999999999999"/>
    <n v="1"/>
    <n v="1"/>
  </r>
  <r>
    <x v="1"/>
    <s v="操場底下的100層樓學校3"/>
    <m/>
    <d v="2025-04-07T00:00:00"/>
    <n v="115.19999999999999"/>
    <s v="博客來"/>
    <m/>
    <m/>
    <m/>
    <m/>
    <n v="115.19999999999999"/>
    <s v=""/>
    <n v="1"/>
  </r>
  <r>
    <x v="1"/>
    <s v="操場底下的100層樓學校4"/>
    <m/>
    <d v="2025-04-07T00:00:00"/>
    <n v="115.19999999999999"/>
    <s v="博客來"/>
    <m/>
    <m/>
    <m/>
    <m/>
    <n v="115.19999999999999"/>
    <s v=""/>
    <n v="1"/>
  </r>
  <r>
    <x v="1"/>
    <s v="科學天才小偵探1"/>
    <s v="V"/>
    <d v="2024-07-07T00:00:00"/>
    <n v="209"/>
    <s v="MOMO"/>
    <m/>
    <m/>
    <m/>
    <m/>
    <n v="209"/>
    <n v="1"/>
    <n v="1"/>
  </r>
  <r>
    <x v="1"/>
    <s v="科學天才小偵探2"/>
    <s v="V"/>
    <d v="2024-07-07T00:00:00"/>
    <n v="209"/>
    <s v="MOMO"/>
    <m/>
    <m/>
    <m/>
    <m/>
    <n v="209"/>
    <n v="1"/>
    <n v="1"/>
  </r>
  <r>
    <x v="1"/>
    <s v="科學天才小偵探3"/>
    <m/>
    <d v="2024-07-07T00:00:00"/>
    <n v="209"/>
    <s v="MOMO"/>
    <m/>
    <m/>
    <m/>
    <m/>
    <n v="209"/>
    <s v=""/>
    <n v="1"/>
  </r>
  <r>
    <x v="1"/>
    <s v="科學天才小偵探4"/>
    <m/>
    <d v="2024-07-07T00:00:00"/>
    <n v="209"/>
    <s v="MOMO"/>
    <m/>
    <m/>
    <m/>
    <m/>
    <n v="209"/>
    <s v=""/>
    <n v="1"/>
  </r>
  <r>
    <x v="1"/>
    <s v="科學天才小偵探5"/>
    <m/>
    <d v="2024-07-07T00:00:00"/>
    <n v="209"/>
    <s v="MOMO"/>
    <m/>
    <m/>
    <m/>
    <m/>
    <n v="209"/>
    <s v=""/>
    <n v="1"/>
  </r>
  <r>
    <x v="2"/>
    <s v="爆笑科學王1"/>
    <s v="V"/>
    <d v="2023-08-07T00:00:00"/>
    <n v="197.2"/>
    <s v="博客來"/>
    <m/>
    <m/>
    <m/>
    <m/>
    <n v="197.2"/>
    <n v="1"/>
    <n v="1"/>
  </r>
  <r>
    <x v="2"/>
    <s v="爆笑科學王2"/>
    <s v="V"/>
    <d v="2023-08-07T00:00:00"/>
    <n v="197.2"/>
    <s v="博客來"/>
    <m/>
    <m/>
    <m/>
    <m/>
    <n v="197.2"/>
    <n v="1"/>
    <n v="1"/>
  </r>
  <r>
    <x v="2"/>
    <s v="爆笑科學王3"/>
    <s v="V"/>
    <d v="2023-08-07T00:00:00"/>
    <n v="197.2"/>
    <s v="博客來"/>
    <m/>
    <m/>
    <m/>
    <m/>
    <n v="197.2"/>
    <n v="1"/>
    <n v="1"/>
  </r>
  <r>
    <x v="2"/>
    <s v="爆笑科學王4"/>
    <s v="V"/>
    <d v="2023-08-07T00:00:00"/>
    <n v="197.2"/>
    <s v="博客來"/>
    <m/>
    <m/>
    <m/>
    <m/>
    <n v="197.2"/>
    <n v="1"/>
    <n v="1"/>
  </r>
  <r>
    <x v="2"/>
    <s v="爆笑科學王5"/>
    <s v="V"/>
    <d v="2023-08-07T00:00:00"/>
    <n v="197.2"/>
    <s v="博客來"/>
    <m/>
    <m/>
    <m/>
    <m/>
    <n v="197.2"/>
    <n v="1"/>
    <n v="1"/>
  </r>
  <r>
    <x v="2"/>
    <s v="爆笑科學王6"/>
    <s v="V"/>
    <d v="2025-08-10T00:00:00"/>
    <n v="236.25"/>
    <s v="MOMO"/>
    <m/>
    <m/>
    <m/>
    <m/>
    <n v="236.25"/>
    <n v="1"/>
    <n v="1"/>
  </r>
  <r>
    <x v="2"/>
    <s v="爆笑科學王7"/>
    <s v="V"/>
    <d v="2025-08-10T00:00:00"/>
    <n v="236.25"/>
    <s v="MOMO"/>
    <m/>
    <m/>
    <m/>
    <m/>
    <n v="236.25"/>
    <n v="1"/>
    <n v="1"/>
  </r>
  <r>
    <x v="2"/>
    <s v="爆笑科學王8"/>
    <s v="V"/>
    <d v="2025-08-10T00:00:00"/>
    <n v="236.25"/>
    <s v="MOMO"/>
    <m/>
    <m/>
    <m/>
    <m/>
    <n v="236.25"/>
    <n v="1"/>
    <n v="1"/>
  </r>
  <r>
    <x v="2"/>
    <s v="爆笑科學王9"/>
    <s v="V"/>
    <d v="2025-08-10T00:00:00"/>
    <n v="236.25"/>
    <s v="MOMO"/>
    <m/>
    <m/>
    <d v="2025-09-02T00:00:00"/>
    <m/>
    <n v="236.25"/>
    <n v="1"/>
    <n v="1"/>
  </r>
  <r>
    <x v="2"/>
    <s v="爆笑科學王10"/>
    <s v="V"/>
    <d v="2025-08-28T00:00:00"/>
    <n v="252"/>
    <s v="MOMO"/>
    <m/>
    <m/>
    <d v="2025-09-15T00:00:00"/>
    <m/>
    <n v="252"/>
    <n v="1"/>
    <n v="1"/>
  </r>
  <r>
    <x v="2"/>
    <s v="爆笑科學王11"/>
    <s v="V"/>
    <d v="2025-08-28T00:00:00"/>
    <n v="252"/>
    <s v="MOMO"/>
    <m/>
    <m/>
    <d v="2025-09-23T00:00:00"/>
    <m/>
    <n v="252"/>
    <n v="1"/>
    <n v="1"/>
  </r>
  <r>
    <x v="2"/>
    <s v="爆笑科學王12"/>
    <s v="V"/>
    <d v="2025-08-28T00:00:00"/>
    <n v="252"/>
    <s v="MOMO"/>
    <m/>
    <m/>
    <d v="2025-09-24T00:00:00"/>
    <m/>
    <n v="252"/>
    <n v="1"/>
    <n v="1"/>
  </r>
  <r>
    <x v="2"/>
    <s v="爆笑科學王13"/>
    <s v="V"/>
    <d v="2025-09-23T00:00:00"/>
    <n v="243"/>
    <s v="MOMO"/>
    <m/>
    <m/>
    <d v="2025-10-02T00:00:00"/>
    <m/>
    <n v="243"/>
    <n v="1"/>
    <n v="1"/>
  </r>
  <r>
    <x v="2"/>
    <s v="爆笑科學王14"/>
    <s v="V"/>
    <d v="2025-09-23T00:00:00"/>
    <n v="243"/>
    <s v="MOMO"/>
    <m/>
    <m/>
    <d v="2025-10-04T00:00:00"/>
    <m/>
    <n v="243"/>
    <n v="1"/>
    <n v="1"/>
  </r>
  <r>
    <x v="2"/>
    <s v="爆笑科學王15"/>
    <s v="V"/>
    <d v="2025-09-23T00:00:00"/>
    <n v="243"/>
    <s v="MOMO"/>
    <m/>
    <m/>
    <d v="2025-10-06T00:00:00"/>
    <m/>
    <n v="243"/>
    <n v="1"/>
    <n v="1"/>
  </r>
  <r>
    <x v="2"/>
    <s v="爆笑科學王16"/>
    <s v="V"/>
    <d v="2025-11-04T00:00:00"/>
    <n v="238"/>
    <s v="MOMO"/>
    <m/>
    <m/>
    <d v="2025-12-25T00:00:00"/>
    <m/>
    <n v="238"/>
    <n v="1"/>
    <n v="1"/>
  </r>
  <r>
    <x v="2"/>
    <s v="爆笑科學王17"/>
    <s v="V"/>
    <d v="2025-11-04T00:00:00"/>
    <n v="212"/>
    <s v="MOMO"/>
    <m/>
    <m/>
    <d v="2025-12-27T00:00:00"/>
    <m/>
    <n v="212"/>
    <n v="1"/>
    <n v="1"/>
  </r>
  <r>
    <x v="2"/>
    <s v="爆笑科學王18"/>
    <s v="V"/>
    <d v="2025-12-03T00:00:00"/>
    <n v="212"/>
    <s v="MOMO"/>
    <m/>
    <m/>
    <d v="2026-02-20T00:00:00"/>
    <m/>
    <n v="212"/>
    <n v="1"/>
    <n v="1"/>
  </r>
  <r>
    <x v="3"/>
    <s v="怦怦！怦怦！聽聽身體的祕密：打開耳朵，探索人體的構造和運作機制"/>
    <m/>
    <d v="2025-11-25T00:00:00"/>
    <n v="222.72727272727272"/>
    <s v="讀共"/>
    <m/>
    <m/>
    <m/>
    <m/>
    <n v="222.72727272727272"/>
    <s v=""/>
    <n v="1"/>
  </r>
  <r>
    <x v="3"/>
    <s v="工作細胞繪本1"/>
    <s v="V"/>
    <d v="2025-09-23T00:00:00"/>
    <n v="236"/>
    <s v="MOMO"/>
    <m/>
    <m/>
    <d v="2025-09-29T00:00:00"/>
    <m/>
    <n v="236"/>
    <n v="1"/>
    <n v="1"/>
  </r>
  <r>
    <x v="3"/>
    <s v="工作細胞繪本2"/>
    <s v="V"/>
    <d v="2025-09-23T00:00:00"/>
    <n v="236"/>
    <s v="MOMO"/>
    <m/>
    <m/>
    <d v="2025-09-29T00:00:00"/>
    <m/>
    <n v="236"/>
    <n v="1"/>
    <n v="1"/>
  </r>
  <r>
    <x v="3"/>
    <s v="工作細胞繪本3"/>
    <s v="V"/>
    <d v="2025-09-23T00:00:00"/>
    <n v="236"/>
    <s v="MOMO"/>
    <m/>
    <m/>
    <d v="2025-09-29T00:00:00"/>
    <m/>
    <n v="236"/>
    <n v="1"/>
    <n v="1"/>
  </r>
  <r>
    <x v="3"/>
    <s v="工作細胞繪本4"/>
    <s v="V"/>
    <d v="2025-09-23T00:00:00"/>
    <n v="236"/>
    <s v="MOMO"/>
    <m/>
    <m/>
    <d v="2025-09-29T00:00:00"/>
    <m/>
    <n v="236"/>
    <n v="1"/>
    <n v="1"/>
  </r>
  <r>
    <x v="3"/>
    <s v="工作細胞繪本5"/>
    <s v="V"/>
    <d v="2025-09-23T00:00:00"/>
    <n v="236"/>
    <s v="MOMO"/>
    <m/>
    <m/>
    <d v="2025-10-01T00:00:00"/>
    <m/>
    <n v="236"/>
    <n v="1"/>
    <n v="1"/>
  </r>
  <r>
    <x v="3"/>
    <s v="工作細胞繪本6"/>
    <s v="V"/>
    <d v="2025-11-01T00:00:00"/>
    <n v="206"/>
    <s v="MOMO"/>
    <m/>
    <m/>
    <d v="2025-11-04T00:00:00"/>
    <s v="雙11"/>
    <n v="206"/>
    <n v="1"/>
    <n v="1"/>
  </r>
  <r>
    <x v="3"/>
    <s v="半神鈴音丸1"/>
    <m/>
    <d v="2025-05-15T00:00:00"/>
    <n v="182.85714285714286"/>
    <s v="MOMO"/>
    <m/>
    <m/>
    <m/>
    <m/>
    <n v="182.85714285714286"/>
    <s v=""/>
    <n v="1"/>
  </r>
  <r>
    <x v="3"/>
    <s v="半神鈴音丸2"/>
    <m/>
    <d v="2025-05-15T00:00:00"/>
    <n v="182.85714285714286"/>
    <s v="MOMO"/>
    <m/>
    <m/>
    <m/>
    <m/>
    <n v="182.85714285714286"/>
    <s v=""/>
    <n v="1"/>
  </r>
  <r>
    <x v="3"/>
    <s v="半神鈴音丸3"/>
    <m/>
    <d v="2025-05-15T00:00:00"/>
    <n v="182.85714285714286"/>
    <s v="MOMO"/>
    <m/>
    <m/>
    <m/>
    <m/>
    <n v="182.85714285714286"/>
    <s v=""/>
    <n v="1"/>
  </r>
  <r>
    <x v="3"/>
    <s v="半神鈴音丸4"/>
    <m/>
    <d v="2025-05-15T00:00:00"/>
    <n v="182.85714285714286"/>
    <s v="MOMO"/>
    <m/>
    <m/>
    <m/>
    <m/>
    <n v="182.85714285714286"/>
    <s v=""/>
    <n v="1"/>
  </r>
  <r>
    <x v="3"/>
    <s v="半神鈴音丸5"/>
    <m/>
    <d v="2025-05-15T00:00:00"/>
    <n v="182.85714285714286"/>
    <s v="MOMO"/>
    <m/>
    <m/>
    <m/>
    <m/>
    <n v="182.85714285714286"/>
    <s v=""/>
    <n v="1"/>
  </r>
  <r>
    <x v="3"/>
    <s v="半神鈴音丸6"/>
    <m/>
    <d v="2025-05-15T00:00:00"/>
    <n v="182.85714285714286"/>
    <s v="MOMO"/>
    <m/>
    <m/>
    <m/>
    <m/>
    <n v="182.85714285714286"/>
    <s v=""/>
    <n v="1"/>
  </r>
  <r>
    <x v="3"/>
    <s v="半神鈴音丸7"/>
    <m/>
    <d v="2025-05-15T00:00:00"/>
    <n v="182.85714285714286"/>
    <s v="MOMO"/>
    <m/>
    <m/>
    <m/>
    <m/>
    <n v="182.85714285714286"/>
    <s v=""/>
    <n v="1"/>
  </r>
  <r>
    <x v="3"/>
    <s v="汽水偵探1"/>
    <s v="V"/>
    <d v="2025-04-19T00:00:00"/>
    <n v="207.8"/>
    <s v="MOMO"/>
    <n v="-204"/>
    <d v="2026-01-01T00:00:00"/>
    <d v="2025-12-09T00:00:00"/>
    <m/>
    <n v="3.8000000000000114"/>
    <n v="1"/>
    <n v="1"/>
  </r>
  <r>
    <x v="3"/>
    <s v="汽水偵探2"/>
    <s v="V"/>
    <d v="2025-04-19T00:00:00"/>
    <n v="207.8"/>
    <s v="MOMO"/>
    <n v="-204"/>
    <d v="2026-01-01T00:00:00"/>
    <d v="2025-12-12T00:00:00"/>
    <m/>
    <n v="3.8000000000000114"/>
    <n v="1"/>
    <n v="1"/>
  </r>
  <r>
    <x v="3"/>
    <s v="汽水偵探3"/>
    <s v="V"/>
    <d v="2025-04-19T00:00:00"/>
    <n v="207.8"/>
    <s v="MOMO"/>
    <n v="-204"/>
    <d v="2026-01-01T00:00:00"/>
    <d v="2025-12-11T00:00:00"/>
    <m/>
    <n v="3.8000000000000114"/>
    <n v="1"/>
    <n v="1"/>
  </r>
  <r>
    <x v="3"/>
    <s v="汽水偵探4"/>
    <s v="V"/>
    <d v="2025-04-19T00:00:00"/>
    <n v="207.8"/>
    <s v="MOMO"/>
    <n v="-204"/>
    <d v="2026-01-01T00:00:00"/>
    <d v="2025-12-08T00:00:00"/>
    <m/>
    <n v="3.8000000000000114"/>
    <n v="1"/>
    <n v="1"/>
  </r>
  <r>
    <x v="3"/>
    <s v="汽水偵探5"/>
    <s v="V"/>
    <d v="2025-04-19T00:00:00"/>
    <n v="207.8"/>
    <s v="MOMO"/>
    <n v="-204"/>
    <d v="2026-01-01T00:00:00"/>
    <d v="2025-12-13T00:00:00"/>
    <m/>
    <n v="3.8000000000000114"/>
    <n v="1"/>
    <n v="1"/>
  </r>
  <r>
    <x v="4"/>
    <s v="荒島食驗家1-過貓泡麵"/>
    <s v="V"/>
    <d v="2025-10-17T00:00:00"/>
    <n v="194"/>
    <s v="MOMO"/>
    <m/>
    <m/>
    <d v="2025-10-26T00:00:00"/>
    <m/>
    <n v="194"/>
    <n v="1"/>
    <n v="1"/>
  </r>
  <r>
    <x v="4"/>
    <s v="荒島食驗家2-野薑花煮魚"/>
    <s v="V"/>
    <d v="2025-10-18T00:00:00"/>
    <n v="194"/>
    <s v="MOMO"/>
    <m/>
    <m/>
    <d v="2025-10-29T00:00:00"/>
    <m/>
    <n v="194"/>
    <n v="1"/>
    <n v="1"/>
  </r>
  <r>
    <x v="4"/>
    <s v="荒島食驗家3-檸檬牡蠣炊飯"/>
    <s v="V"/>
    <d v="2025-10-19T00:00:00"/>
    <n v="194"/>
    <s v="MOMO"/>
    <m/>
    <m/>
    <d v="2025-11-02T00:00:00"/>
    <m/>
    <n v="194"/>
    <n v="1"/>
    <n v="1"/>
  </r>
  <r>
    <x v="5"/>
    <s v="梅子老師這一班1"/>
    <m/>
    <d v="2025-12-01T00:00:00"/>
    <n v="177"/>
    <s v="MOMO"/>
    <m/>
    <m/>
    <m/>
    <m/>
    <n v="177"/>
    <s v=""/>
    <n v="1"/>
  </r>
  <r>
    <x v="5"/>
    <s v="梅子老師這一班2"/>
    <m/>
    <d v="2025-12-01T00:00:00"/>
    <n v="177"/>
    <s v="MOMO"/>
    <m/>
    <m/>
    <m/>
    <m/>
    <n v="177"/>
    <s v=""/>
    <n v="1"/>
  </r>
  <r>
    <x v="5"/>
    <s v="梅子老師這一班3"/>
    <m/>
    <d v="2025-12-01T00:00:00"/>
    <n v="177"/>
    <s v="MOMO"/>
    <m/>
    <m/>
    <m/>
    <m/>
    <n v="177"/>
    <s v=""/>
    <n v="1"/>
  </r>
  <r>
    <x v="5"/>
    <s v="梅子老師這一班4"/>
    <m/>
    <d v="2025-12-01T00:00:00"/>
    <n v="177"/>
    <s v="MOMO"/>
    <m/>
    <m/>
    <m/>
    <m/>
    <n v="177"/>
    <s v=""/>
    <n v="1"/>
  </r>
  <r>
    <x v="5"/>
    <s v="梅子老師這一班5-什麼？老師不教了！"/>
    <s v="V"/>
    <d v="2025-12-01T00:00:00"/>
    <n v="177"/>
    <s v="MOMO"/>
    <m/>
    <m/>
    <d v="2026-03-15T00:00:00"/>
    <m/>
    <n v="177"/>
    <n v="1"/>
    <n v="1"/>
  </r>
  <r>
    <x v="5"/>
    <s v="梅子老師這一班6"/>
    <m/>
    <d v="2025-12-01T00:00:00"/>
    <n v="177"/>
    <s v="MOMO"/>
    <m/>
    <m/>
    <m/>
    <m/>
    <n v="177"/>
    <s v=""/>
    <n v="1"/>
  </r>
  <r>
    <x v="5"/>
    <s v="梅子老師這一班7"/>
    <m/>
    <d v="2025-12-01T00:00:00"/>
    <n v="177"/>
    <s v="MOMO"/>
    <m/>
    <m/>
    <m/>
    <m/>
    <n v="177"/>
    <s v=""/>
    <n v="1"/>
  </r>
  <r>
    <x v="5"/>
    <s v="小小科學人：100人體大發現"/>
    <m/>
    <d v="2025-10-07T00:00:00"/>
    <n v="365"/>
    <s v="博客來"/>
    <m/>
    <m/>
    <m/>
    <m/>
    <n v="365"/>
    <s v=""/>
    <n v="1"/>
  </r>
  <r>
    <x v="5"/>
    <s v="小小科學人：100食物大發現"/>
    <m/>
    <d v="2025-10-07T00:00:00"/>
    <n v="302"/>
    <s v="博客來"/>
    <m/>
    <m/>
    <m/>
    <m/>
    <n v="302"/>
    <s v=""/>
    <n v="1"/>
  </r>
  <r>
    <x v="5"/>
    <s v="情緒遊樂園"/>
    <s v="X"/>
    <d v="2024-11-11T00:00:00"/>
    <n v="193.85714285714286"/>
    <s v="MOMO"/>
    <n v="-183.6057142857143"/>
    <d v="2025-11-29T00:00:00"/>
    <m/>
    <m/>
    <n v="10.251428571428562"/>
    <n v="0"/>
    <n v="1"/>
  </r>
  <r>
    <x v="5"/>
    <s v="安心國小1"/>
    <s v="V"/>
    <d v="2024-11-11T00:00:00"/>
    <n v="193.85714285714286"/>
    <s v="MOMO"/>
    <n v="-183.6057142857143"/>
    <d v="2025-11-29T00:00:00"/>
    <m/>
    <m/>
    <n v="10.251428571428562"/>
    <n v="1"/>
    <n v="1"/>
  </r>
  <r>
    <x v="5"/>
    <s v="安心國小2"/>
    <s v="V"/>
    <d v="2024-11-11T00:00:00"/>
    <n v="193.85714285714286"/>
    <s v="MOMO"/>
    <n v="-183.6057142857143"/>
    <d v="2025-11-29T00:00:00"/>
    <m/>
    <m/>
    <n v="10.251428571428562"/>
    <n v="1"/>
    <n v="1"/>
  </r>
  <r>
    <x v="5"/>
    <s v="安心國小3"/>
    <s v="V"/>
    <d v="2024-11-11T00:00:00"/>
    <n v="193.85714285714286"/>
    <s v="MOMO"/>
    <n v="-183.6057142857143"/>
    <d v="2025-11-29T00:00:00"/>
    <m/>
    <m/>
    <n v="10.251428571428562"/>
    <n v="1"/>
    <n v="1"/>
  </r>
  <r>
    <x v="5"/>
    <s v="安心國小4"/>
    <s v="V"/>
    <d v="2024-11-11T00:00:00"/>
    <n v="193.85714285714286"/>
    <s v="MOMO"/>
    <n v="-183.6057142857143"/>
    <d v="2025-11-29T00:00:00"/>
    <m/>
    <m/>
    <n v="10.251428571428562"/>
    <n v="1"/>
    <n v="1"/>
  </r>
  <r>
    <x v="5"/>
    <s v="安心國小5"/>
    <s v="V"/>
    <d v="2024-11-11T00:00:00"/>
    <n v="193.85714285714286"/>
    <s v="MOMO"/>
    <n v="-183.6057142857143"/>
    <d v="2025-11-29T00:00:00"/>
    <m/>
    <m/>
    <n v="10.251428571428562"/>
    <n v="1"/>
    <n v="1"/>
  </r>
  <r>
    <x v="5"/>
    <s v="安心國小6"/>
    <s v="V"/>
    <d v="2024-11-11T00:00:00"/>
    <n v="193.85714285714286"/>
    <s v="MOMO"/>
    <n v="-183.6057142857143"/>
    <d v="2025-11-29T00:00:00"/>
    <m/>
    <m/>
    <n v="10.251428571428562"/>
    <n v="1"/>
    <n v="1"/>
  </r>
  <r>
    <x v="5"/>
    <s v="安心國小7"/>
    <s v="V"/>
    <d v="2025-04-07T00:00:00"/>
    <n v="252"/>
    <s v="博客來"/>
    <n v="-208.75"/>
    <d v="2026-01-06T00:00:00"/>
    <m/>
    <m/>
    <n v="43.25"/>
    <n v="1"/>
    <n v="1"/>
  </r>
  <r>
    <x v="5"/>
    <s v="安心國小8"/>
    <s v="V"/>
    <d v="2025-04-07T00:00:00"/>
    <n v="252"/>
    <s v="博客來"/>
    <n v="-208.75"/>
    <d v="2026-01-06T00:00:00"/>
    <m/>
    <m/>
    <n v="43.25"/>
    <n v="1"/>
    <n v="1"/>
  </r>
  <r>
    <x v="5"/>
    <s v="安心國小9"/>
    <s v="V"/>
    <d v="2025-04-07T00:00:00"/>
    <n v="252"/>
    <s v="博客來"/>
    <n v="-208.75"/>
    <d v="2026-01-06T00:00:00"/>
    <m/>
    <m/>
    <n v="43.25"/>
    <n v="1"/>
    <n v="1"/>
  </r>
  <r>
    <x v="5"/>
    <s v="安心國小10"/>
    <s v="V"/>
    <d v="2025-04-07T00:00:00"/>
    <n v="252"/>
    <s v="博客來"/>
    <n v="-208.75"/>
    <d v="2026-01-06T00:00:00"/>
    <m/>
    <m/>
    <n v="43.25"/>
    <n v="1"/>
    <n v="1"/>
  </r>
  <r>
    <x v="5"/>
    <s v="安心國小11"/>
    <s v="V"/>
    <d v="2025-10-07T00:00:00"/>
    <n v="227.5"/>
    <s v="博客來"/>
    <n v="-220.5"/>
    <d v="2025-12-19T00:00:00"/>
    <d v="2025-10-24T00:00:00"/>
    <m/>
    <n v="7"/>
    <n v="1"/>
    <n v="1"/>
  </r>
  <r>
    <x v="5"/>
    <s v="安心國小12"/>
    <s v="V"/>
    <d v="2025-10-07T00:00:00"/>
    <n v="227.5"/>
    <s v="博客來"/>
    <n v="-220.5"/>
    <d v="2025-12-19T00:00:00"/>
    <d v="2025-10-25T00:00:00"/>
    <m/>
    <n v="7"/>
    <n v="1"/>
    <n v="1"/>
  </r>
  <r>
    <x v="6"/>
    <s v="三字經小學堂1：古人也有煩惱嗎？"/>
    <m/>
    <d v="2025-09-30T00:00:00"/>
    <n v="210"/>
    <s v="MOMO"/>
    <m/>
    <m/>
    <m/>
    <m/>
    <n v="210"/>
    <s v=""/>
    <n v="1"/>
  </r>
  <r>
    <x v="6"/>
    <s v="三字經小學堂2：古人也有煩惱嗎？"/>
    <m/>
    <d v="2025-09-30T00:00:00"/>
    <n v="210"/>
    <s v="MOMO"/>
    <m/>
    <m/>
    <m/>
    <m/>
    <n v="210"/>
    <s v=""/>
    <n v="1"/>
  </r>
  <r>
    <x v="6"/>
    <s v="三字經小學堂3：古人也有煩惱嗎？"/>
    <m/>
    <d v="2025-09-30T00:00:00"/>
    <n v="204"/>
    <s v="MOMO"/>
    <m/>
    <m/>
    <m/>
    <m/>
    <n v="204"/>
    <s v=""/>
    <n v="1"/>
  </r>
  <r>
    <x v="7"/>
    <s v="香腸班長妙老師1"/>
    <s v="V"/>
    <d v="2025-09-30T00:00:00"/>
    <n v="198"/>
    <s v="團書"/>
    <m/>
    <m/>
    <d v="2025-09-28T00:00:00"/>
    <s v="2026/2/1二刷"/>
    <n v="198"/>
    <n v="1"/>
    <n v="1"/>
  </r>
  <r>
    <x v="7"/>
    <s v="香腸班長妙老師2"/>
    <s v="V"/>
    <d v="2025-09-30T00:00:00"/>
    <n v="198"/>
    <s v="團書"/>
    <m/>
    <m/>
    <d v="2025-10-14T00:00:00"/>
    <s v="2026/4/14二刷"/>
    <n v="198"/>
    <n v="1"/>
    <n v="1"/>
  </r>
  <r>
    <x v="7"/>
    <s v="香腸班長妙老師3"/>
    <s v="V"/>
    <d v="2025-09-30T00:00:00"/>
    <n v="198"/>
    <s v="團書"/>
    <m/>
    <m/>
    <d v="2025-10-17T00:00:00"/>
    <m/>
    <n v="198"/>
    <n v="1"/>
    <n v="1"/>
  </r>
  <r>
    <x v="7"/>
    <s v="香腸班長妙老師4"/>
    <s v="V"/>
    <d v="2025-09-30T00:00:00"/>
    <n v="198"/>
    <s v="團書"/>
    <m/>
    <m/>
    <d v="2025-10-21T00:00:00"/>
    <m/>
    <n v="198"/>
    <n v="1"/>
    <n v="1"/>
  </r>
  <r>
    <x v="7"/>
    <s v="小四愛作怪1"/>
    <s v="V"/>
    <d v="2025-09-30T00:00:00"/>
    <n v="184.83333333333334"/>
    <s v="團書"/>
    <m/>
    <m/>
    <d v="2026-01-18T00:00:00"/>
    <m/>
    <n v="184.83333333333334"/>
    <n v="1"/>
    <n v="1"/>
  </r>
  <r>
    <x v="7"/>
    <s v="小四愛作怪2"/>
    <s v="V"/>
    <d v="2025-09-30T00:00:00"/>
    <n v="184.83333333333334"/>
    <s v="團書"/>
    <m/>
    <m/>
    <d v="2026-02-09T00:00:00"/>
    <m/>
    <n v="184.83333333333334"/>
    <n v="1"/>
    <n v="1"/>
  </r>
  <r>
    <x v="7"/>
    <s v="小四愛作怪3"/>
    <m/>
    <d v="2025-09-30T00:00:00"/>
    <n v="184.83333333333334"/>
    <s v="團書"/>
    <m/>
    <m/>
    <m/>
    <m/>
    <n v="184.83333333333334"/>
    <s v=""/>
    <n v="1"/>
  </r>
  <r>
    <x v="7"/>
    <s v="小四愛作怪4"/>
    <m/>
    <d v="2025-09-30T00:00:00"/>
    <n v="184.83333333333334"/>
    <s v="團書"/>
    <m/>
    <m/>
    <m/>
    <m/>
    <n v="184.83333333333334"/>
    <s v=""/>
    <n v="1"/>
  </r>
  <r>
    <x v="7"/>
    <s v="小四愛作怪5"/>
    <m/>
    <d v="2025-09-30T00:00:00"/>
    <n v="184.83333333333334"/>
    <s v="團書"/>
    <m/>
    <m/>
    <m/>
    <m/>
    <n v="184.83333333333334"/>
    <s v=""/>
    <n v="1"/>
  </r>
  <r>
    <x v="7"/>
    <s v="小四愛作怪6"/>
    <m/>
    <d v="2025-09-30T00:00:00"/>
    <n v="184.83333333333334"/>
    <s v="團書"/>
    <m/>
    <m/>
    <m/>
    <m/>
    <n v="184.83333333333334"/>
    <s v=""/>
    <n v="1"/>
  </r>
  <r>
    <x v="7"/>
    <s v="草莓心事三部曲1"/>
    <m/>
    <d v="2025-09-30T00:00:00"/>
    <n v="184.66666666666666"/>
    <s v="團書"/>
    <m/>
    <m/>
    <m/>
    <m/>
    <n v="184.66666666666666"/>
    <s v=""/>
    <n v="1"/>
  </r>
  <r>
    <x v="7"/>
    <s v="草莓心事三部曲2"/>
    <m/>
    <d v="2025-09-30T00:00:00"/>
    <n v="184.66666666666666"/>
    <s v="團書"/>
    <m/>
    <m/>
    <m/>
    <m/>
    <n v="184.66666666666666"/>
    <s v=""/>
    <n v="1"/>
  </r>
  <r>
    <x v="7"/>
    <s v="草莓心事三部曲3"/>
    <m/>
    <d v="2025-09-30T00:00:00"/>
    <n v="184.66666666666666"/>
    <s v="團書"/>
    <m/>
    <m/>
    <m/>
    <m/>
    <n v="184.66666666666666"/>
    <s v=""/>
    <n v="1"/>
  </r>
  <r>
    <x v="8"/>
    <s v="大豐國小族球隊1"/>
    <m/>
    <d v="2025-07-29T00:00:00"/>
    <n v="270"/>
    <s v="團書"/>
    <m/>
    <m/>
    <m/>
    <m/>
    <n v="270"/>
    <s v=""/>
    <n v="1"/>
  </r>
  <r>
    <x v="9"/>
    <s v="萌漫大話成語王1"/>
    <m/>
    <d v="2025-07-29T00:00:00"/>
    <n v="291"/>
    <s v="團書"/>
    <m/>
    <m/>
    <m/>
    <m/>
    <n v="291"/>
    <s v=""/>
    <n v="1"/>
  </r>
  <r>
    <x v="9"/>
    <s v="穿越古代當神探1"/>
    <m/>
    <d v="2025-07-29T00:00:00"/>
    <n v="247.5"/>
    <s v="團書"/>
    <m/>
    <m/>
    <m/>
    <m/>
    <n v="247.5"/>
    <s v=""/>
    <n v="1"/>
  </r>
  <r>
    <x v="9"/>
    <s v="穿越古代當神探2"/>
    <m/>
    <d v="2025-07-29T00:00:00"/>
    <n v="247.5"/>
    <s v="團書"/>
    <m/>
    <m/>
    <m/>
    <m/>
    <n v="247.5"/>
    <s v=""/>
    <n v="1"/>
  </r>
  <r>
    <x v="9"/>
    <s v="穿越古代當神探3"/>
    <m/>
    <d v="2025-07-29T00:00:00"/>
    <n v="247.5"/>
    <s v="團書"/>
    <m/>
    <m/>
    <m/>
    <m/>
    <n v="247.5"/>
    <s v=""/>
    <n v="1"/>
  </r>
  <r>
    <x v="9"/>
    <s v="穿越古代當神探4"/>
    <m/>
    <d v="2025-07-29T00:00:00"/>
    <n v="247.5"/>
    <s v="團書"/>
    <m/>
    <m/>
    <m/>
    <m/>
    <n v="247.5"/>
    <s v=""/>
    <n v="1"/>
  </r>
  <r>
    <x v="10"/>
    <s v="小王子立體書"/>
    <m/>
    <d v="2025-07-24T00:00:00"/>
    <n v="1393"/>
    <s v="團書"/>
    <m/>
    <m/>
    <m/>
    <m/>
    <n v="1393"/>
    <s v=""/>
    <n v="1"/>
  </r>
  <r>
    <x v="10"/>
    <s v="法布爾昆蟲記立體書"/>
    <m/>
    <d v="2025-07-24T00:00:00"/>
    <n v="903"/>
    <s v="團書"/>
    <m/>
    <m/>
    <m/>
    <m/>
    <n v="903"/>
    <s v=""/>
    <n v="1"/>
  </r>
  <r>
    <x v="11"/>
    <s v="口袋神探-尖端科技篇3"/>
    <m/>
    <d v="2025-06-24T00:00:00"/>
    <n v="199"/>
    <s v="團書"/>
    <m/>
    <m/>
    <m/>
    <m/>
    <n v="199"/>
    <s v=""/>
    <n v="1"/>
  </r>
  <r>
    <x v="11"/>
    <s v="綠野仙蹤1-神秘的魔法師"/>
    <s v="V"/>
    <d v="2025-06-24T00:00:00"/>
    <n v="100"/>
    <s v="團書"/>
    <m/>
    <m/>
    <d v="2026-01-26T00:00:00"/>
    <m/>
    <n v="100"/>
    <n v="1"/>
    <n v="1"/>
  </r>
  <r>
    <x v="11"/>
    <s v="公平？不公平？教你獨立思考，如何判斷！"/>
    <s v="V"/>
    <d v="2025-06-24T00:00:00"/>
    <n v="100"/>
    <s v="團書"/>
    <n v="-163"/>
    <d v="2026-01-31T00:00:00"/>
    <d v="2025-12-21T00:00:00"/>
    <m/>
    <n v="-63"/>
    <n v="1"/>
    <n v="1"/>
  </r>
  <r>
    <x v="11"/>
    <s v="三分天下、十分搞笑的三國演義1"/>
    <m/>
    <d v="2025-06-24T00:00:00"/>
    <n v="225"/>
    <s v="團書"/>
    <m/>
    <m/>
    <m/>
    <m/>
    <n v="225"/>
    <s v=""/>
    <n v="1"/>
  </r>
  <r>
    <x v="11"/>
    <s v="三分天下、十分搞笑的三國演義2"/>
    <m/>
    <d v="2025-06-24T00:00:00"/>
    <n v="225"/>
    <s v="團書"/>
    <m/>
    <m/>
    <m/>
    <m/>
    <n v="225"/>
    <s v=""/>
    <n v="1"/>
  </r>
  <r>
    <x v="11"/>
    <s v="臭屁實習偵探1"/>
    <s v="V"/>
    <d v="2025-06-24T00:00:00"/>
    <n v="184.66666666666666"/>
    <s v="團書"/>
    <m/>
    <m/>
    <m/>
    <m/>
    <n v="184.66666666666666"/>
    <n v="1"/>
    <n v="1"/>
  </r>
  <r>
    <x v="11"/>
    <s v="臭屁實習偵探2"/>
    <s v="V"/>
    <d v="2025-06-24T00:00:00"/>
    <n v="184.66666666666666"/>
    <s v="團書"/>
    <m/>
    <m/>
    <d v="2025-09-14T00:00:00"/>
    <m/>
    <n v="184.66666666666666"/>
    <n v="1"/>
    <n v="1"/>
  </r>
  <r>
    <x v="11"/>
    <s v="臭屁實習偵探3"/>
    <s v="V"/>
    <d v="2025-06-24T00:00:00"/>
    <n v="184.66666666666666"/>
    <s v="團書"/>
    <m/>
    <m/>
    <d v="2025-10-04T00:00:00"/>
    <m/>
    <n v="184.66666666666666"/>
    <n v="1"/>
    <n v="1"/>
  </r>
  <r>
    <x v="11"/>
    <s v="歷史人物在我們班1"/>
    <m/>
    <d v="2025-06-24T00:00:00"/>
    <n v="200"/>
    <s v="團書"/>
    <m/>
    <m/>
    <m/>
    <m/>
    <n v="200"/>
    <s v=""/>
    <n v="1"/>
  </r>
  <r>
    <x v="11"/>
    <s v="歷史人物在我們班2"/>
    <m/>
    <d v="2025-06-24T00:00:00"/>
    <n v="200"/>
    <s v="團書"/>
    <m/>
    <m/>
    <m/>
    <m/>
    <n v="200"/>
    <s v=""/>
    <n v="1"/>
  </r>
  <r>
    <x v="11"/>
    <s v="歷史人物在我們班3"/>
    <m/>
    <d v="2025-06-24T00:00:00"/>
    <n v="200"/>
    <s v="團書"/>
    <m/>
    <m/>
    <m/>
    <m/>
    <n v="200"/>
    <s v=""/>
    <n v="1"/>
  </r>
  <r>
    <x v="11"/>
    <s v="歷史人物在我們班4"/>
    <m/>
    <d v="2025-06-24T00:00:00"/>
    <n v="200"/>
    <s v="團書"/>
    <m/>
    <m/>
    <m/>
    <m/>
    <n v="200"/>
    <s v=""/>
    <n v="1"/>
  </r>
  <r>
    <x v="11"/>
    <s v="歷史人物在我們班5"/>
    <m/>
    <d v="2025-06-24T00:00:00"/>
    <n v="200"/>
    <s v="團書"/>
    <m/>
    <m/>
    <m/>
    <m/>
    <n v="200"/>
    <s v=""/>
    <n v="1"/>
  </r>
  <r>
    <x v="11"/>
    <s v="7歲名偵探-小福爾摩斯1-遊樂園有鬼"/>
    <s v="V"/>
    <d v="2025-06-24T00:00:00"/>
    <n v="100"/>
    <s v="團書"/>
    <n v="-115.625"/>
    <d v="2025-11-29T00:00:00"/>
    <d v="2025-10-26T00:00:00"/>
    <m/>
    <n v="-15.625"/>
    <n v="1"/>
    <n v="1"/>
  </r>
  <r>
    <x v="11"/>
    <s v="寫給中小學生的工作圖鑑"/>
    <m/>
    <d v="2026-01-15T00:00:00"/>
    <n v="261"/>
    <s v="回頭書"/>
    <m/>
    <m/>
    <m/>
    <m/>
    <n v="261"/>
    <s v=""/>
    <n v="1"/>
  </r>
  <r>
    <x v="11"/>
    <s v="妖怪學園（1）：妖怪開學日"/>
    <m/>
    <d v="2026-01-15T00:00:00"/>
    <n v="144"/>
    <s v="回頭書"/>
    <m/>
    <m/>
    <m/>
    <m/>
    <n v="144"/>
    <s v=""/>
    <n v="1"/>
  </r>
  <r>
    <x v="11"/>
    <s v="妖怪學園（2）：放學後的神祕郵件"/>
    <m/>
    <d v="2026-01-15T00:00:00"/>
    <n v="144"/>
    <s v="回頭書"/>
    <m/>
    <m/>
    <m/>
    <m/>
    <n v="144"/>
    <s v=""/>
    <n v="1"/>
  </r>
  <r>
    <x v="11"/>
    <s v="出發吧！科學露營車1 洞穴地質與生態"/>
    <m/>
    <d v="2026-01-15T00:00:00"/>
    <n v="180"/>
    <s v="回頭書"/>
    <m/>
    <m/>
    <m/>
    <m/>
    <n v="180"/>
    <s v=""/>
    <n v="1"/>
  </r>
  <r>
    <x v="11"/>
    <s v="圖解10歲就懂的AI入門"/>
    <m/>
    <d v="2026-01-15T00:00:00"/>
    <n v="171"/>
    <s v="回頭書"/>
    <m/>
    <m/>
    <m/>
    <m/>
    <n v="171"/>
    <s v=""/>
    <n v="1"/>
  </r>
  <r>
    <x v="11"/>
    <s v="超有趣!看漫畫學三國成語②:曹操統一北方.赤壁之戰"/>
    <m/>
    <d v="2026-01-15T00:00:00"/>
    <n v="171"/>
    <s v="回頭書"/>
    <m/>
    <m/>
    <m/>
    <m/>
    <n v="171"/>
    <s v=""/>
    <n v="1"/>
  </r>
  <r>
    <x v="11"/>
    <s v="超有趣！看漫畫學三國成語①：董卓亂政．群雄割據"/>
    <m/>
    <d v="2026-01-15T00:00:00"/>
    <n v="171"/>
    <s v="回頭書"/>
    <m/>
    <m/>
    <m/>
    <m/>
    <n v="171"/>
    <s v=""/>
    <n v="1"/>
  </r>
  <r>
    <x v="12"/>
    <s v="只是開玩笑，竟然變被告1"/>
    <m/>
    <d v="2025-12-18T00:00:00"/>
    <n v="235"/>
    <s v="蝦皮"/>
    <m/>
    <m/>
    <m/>
    <m/>
    <n v="235"/>
    <s v=""/>
    <n v="1"/>
  </r>
  <r>
    <x v="12"/>
    <s v="只是開玩笑，竟然變被告2"/>
    <m/>
    <d v="2025-12-18T00:00:00"/>
    <n v="235"/>
    <s v="蝦皮"/>
    <m/>
    <m/>
    <m/>
    <m/>
    <n v="235"/>
    <s v=""/>
    <n v="1"/>
  </r>
  <r>
    <x v="12"/>
    <s v="只是開玩笑，竟然變被告3"/>
    <m/>
    <d v="2025-12-18T00:00:00"/>
    <n v="235"/>
    <s v="蝦皮"/>
    <m/>
    <m/>
    <m/>
    <m/>
    <n v="235"/>
    <s v=""/>
    <n v="1"/>
  </r>
  <r>
    <x v="12"/>
    <s v="只是開玩笑，竟然變被告4"/>
    <m/>
    <d v="2025-12-18T00:00:00"/>
    <n v="235"/>
    <s v="蝦皮"/>
    <m/>
    <m/>
    <m/>
    <m/>
    <n v="235"/>
    <s v=""/>
    <n v="1"/>
  </r>
  <r>
    <x v="12"/>
    <s v="尋寶記1"/>
    <m/>
    <d v="2025-11-01T00:00:00"/>
    <n v="169.91428571428571"/>
    <s v="MOMO"/>
    <m/>
    <m/>
    <m/>
    <s v="雙11"/>
    <n v="169.91428571428571"/>
    <s v=""/>
    <n v="1"/>
  </r>
  <r>
    <x v="12"/>
    <s v="尋寶記2"/>
    <m/>
    <d v="2025-11-01T00:00:00"/>
    <n v="169.91428571428571"/>
    <s v="MOMO"/>
    <m/>
    <m/>
    <m/>
    <s v="雙11"/>
    <n v="169.91428571428571"/>
    <s v=""/>
    <n v="1"/>
  </r>
  <r>
    <x v="12"/>
    <s v="尋寶記3"/>
    <m/>
    <d v="2025-11-01T00:00:00"/>
    <n v="169.91428571428571"/>
    <s v="MOMO"/>
    <m/>
    <m/>
    <m/>
    <s v="雙11"/>
    <n v="169.91428571428571"/>
    <s v=""/>
    <n v="1"/>
  </r>
  <r>
    <x v="12"/>
    <s v="尋寶記4"/>
    <m/>
    <d v="2025-11-01T00:00:00"/>
    <n v="169.91428571428571"/>
    <s v="MOMO"/>
    <m/>
    <m/>
    <m/>
    <s v="雙11"/>
    <n v="169.91428571428571"/>
    <s v=""/>
    <n v="1"/>
  </r>
  <r>
    <x v="12"/>
    <s v="尋寶記5"/>
    <m/>
    <d v="2025-11-01T00:00:00"/>
    <n v="169.91428571428571"/>
    <s v="MOMO"/>
    <m/>
    <m/>
    <m/>
    <s v="雙11"/>
    <n v="169.91428571428571"/>
    <s v=""/>
    <n v="1"/>
  </r>
  <r>
    <x v="12"/>
    <s v="尋寶記6-美國"/>
    <s v="V"/>
    <d v="2025-11-01T00:00:00"/>
    <n v="169.91428571428571"/>
    <s v="MOMO"/>
    <m/>
    <m/>
    <d v="2025-11-02T00:00:00"/>
    <s v="雙11"/>
    <n v="169.91428571428571"/>
    <n v="1"/>
    <n v="1"/>
  </r>
  <r>
    <x v="12"/>
    <s v="尋寶記7"/>
    <m/>
    <d v="2025-11-01T00:00:00"/>
    <n v="169.91428571428571"/>
    <s v="MOMO"/>
    <m/>
    <m/>
    <m/>
    <s v="雙11"/>
    <n v="169.91428571428571"/>
    <s v=""/>
    <n v="1"/>
  </r>
  <r>
    <x v="12"/>
    <s v="尋寶記8"/>
    <m/>
    <d v="2025-11-01T00:00:00"/>
    <n v="169.91428571428571"/>
    <s v="MOMO"/>
    <m/>
    <m/>
    <m/>
    <s v="雙11"/>
    <n v="169.91428571428571"/>
    <s v=""/>
    <n v="1"/>
  </r>
  <r>
    <x v="12"/>
    <s v="尋寶記9"/>
    <m/>
    <d v="2025-11-01T00:00:00"/>
    <n v="169.91428571428571"/>
    <s v="MOMO"/>
    <m/>
    <m/>
    <m/>
    <s v="雙11"/>
    <n v="169.91428571428571"/>
    <s v=""/>
    <n v="1"/>
  </r>
  <r>
    <x v="12"/>
    <s v="尋寶記10"/>
    <m/>
    <d v="2025-11-01T00:00:00"/>
    <n v="169.91428571428571"/>
    <s v="MOMO"/>
    <m/>
    <m/>
    <m/>
    <s v="雙11"/>
    <n v="169.91428571428571"/>
    <s v=""/>
    <n v="1"/>
  </r>
  <r>
    <x v="12"/>
    <s v="尋寶記11"/>
    <m/>
    <d v="2025-11-01T00:00:00"/>
    <n v="169.91428571428571"/>
    <s v="MOMO"/>
    <m/>
    <m/>
    <m/>
    <s v="雙11"/>
    <n v="169.91428571428571"/>
    <s v=""/>
    <n v="1"/>
  </r>
  <r>
    <x v="12"/>
    <s v="尋寶記12"/>
    <m/>
    <d v="2025-11-01T00:00:00"/>
    <n v="169.91428571428571"/>
    <s v="MOMO"/>
    <m/>
    <m/>
    <m/>
    <s v="雙11"/>
    <n v="169.91428571428571"/>
    <s v=""/>
    <n v="1"/>
  </r>
  <r>
    <x v="12"/>
    <s v="尋寶記13"/>
    <m/>
    <d v="2025-11-01T00:00:00"/>
    <n v="169.91428571428571"/>
    <s v="MOMO"/>
    <m/>
    <m/>
    <m/>
    <s v="雙11"/>
    <n v="169.91428571428571"/>
    <s v=""/>
    <n v="1"/>
  </r>
  <r>
    <x v="12"/>
    <s v="尋寶記14"/>
    <m/>
    <d v="2025-11-01T00:00:00"/>
    <n v="169.91428571428571"/>
    <s v="MOMO"/>
    <m/>
    <m/>
    <m/>
    <s v="雙11"/>
    <n v="169.91428571428571"/>
    <s v=""/>
    <n v="1"/>
  </r>
  <r>
    <x v="12"/>
    <s v="尋寶記15"/>
    <m/>
    <d v="2025-11-01T00:00:00"/>
    <n v="169.91428571428571"/>
    <s v="MOMO"/>
    <m/>
    <m/>
    <m/>
    <s v="雙11"/>
    <n v="169.91428571428571"/>
    <s v=""/>
    <n v="1"/>
  </r>
  <r>
    <x v="12"/>
    <s v="尋寶記16"/>
    <m/>
    <d v="2025-11-01T00:00:00"/>
    <n v="169.91428571428571"/>
    <s v="MOMO"/>
    <m/>
    <m/>
    <m/>
    <s v="雙11"/>
    <n v="169.91428571428571"/>
    <s v=""/>
    <n v="1"/>
  </r>
  <r>
    <x v="12"/>
    <s v="尋寶記17"/>
    <m/>
    <d v="2025-11-01T00:00:00"/>
    <n v="169.91428571428571"/>
    <s v="MOMO"/>
    <m/>
    <m/>
    <m/>
    <s v="雙11"/>
    <n v="169.91428571428571"/>
    <s v=""/>
    <n v="1"/>
  </r>
  <r>
    <x v="12"/>
    <s v="尋寶記18"/>
    <m/>
    <d v="2025-11-01T00:00:00"/>
    <n v="169.91428571428571"/>
    <s v="MOMO"/>
    <m/>
    <m/>
    <m/>
    <s v="雙11"/>
    <n v="169.91428571428571"/>
    <s v=""/>
    <n v="1"/>
  </r>
  <r>
    <x v="12"/>
    <s v="尋寶記19"/>
    <m/>
    <d v="2025-11-01T00:00:00"/>
    <n v="169.91428571428571"/>
    <s v="MOMO"/>
    <m/>
    <m/>
    <m/>
    <s v="雙11"/>
    <n v="169.91428571428571"/>
    <s v=""/>
    <n v="1"/>
  </r>
  <r>
    <x v="12"/>
    <s v="尋寶記20"/>
    <m/>
    <d v="2025-11-01T00:00:00"/>
    <n v="169.91428571428571"/>
    <s v="MOMO"/>
    <m/>
    <m/>
    <m/>
    <s v="雙11"/>
    <n v="169.91428571428571"/>
    <s v=""/>
    <n v="1"/>
  </r>
  <r>
    <x v="12"/>
    <s v="尋寶記21"/>
    <m/>
    <d v="2025-11-01T00:00:00"/>
    <n v="169.91428571428571"/>
    <s v="MOMO"/>
    <m/>
    <m/>
    <m/>
    <s v="雙11"/>
    <n v="169.91428571428571"/>
    <s v=""/>
    <n v="1"/>
  </r>
  <r>
    <x v="12"/>
    <s v="尋寶記22"/>
    <m/>
    <d v="2025-11-01T00:00:00"/>
    <n v="169.91428571428571"/>
    <s v="MOMO"/>
    <m/>
    <m/>
    <m/>
    <s v="雙11"/>
    <n v="169.91428571428571"/>
    <s v=""/>
    <n v="1"/>
  </r>
  <r>
    <x v="12"/>
    <s v="尋寶記23"/>
    <m/>
    <d v="2025-11-01T00:00:00"/>
    <n v="169.91428571428571"/>
    <s v="MOMO"/>
    <m/>
    <m/>
    <m/>
    <s v="雙11"/>
    <n v="169.91428571428571"/>
    <s v=""/>
    <n v="1"/>
  </r>
  <r>
    <x v="12"/>
    <s v="尋寶記24"/>
    <m/>
    <d v="2025-11-01T00:00:00"/>
    <n v="169.91428571428571"/>
    <s v="MOMO"/>
    <m/>
    <m/>
    <m/>
    <s v="雙11"/>
    <n v="169.91428571428571"/>
    <s v=""/>
    <n v="1"/>
  </r>
  <r>
    <x v="12"/>
    <s v="尋寶記25"/>
    <m/>
    <d v="2025-11-01T00:00:00"/>
    <n v="169.91428571428571"/>
    <s v="MOMO"/>
    <m/>
    <m/>
    <m/>
    <s v="雙11"/>
    <n v="169.91428571428571"/>
    <s v=""/>
    <n v="1"/>
  </r>
  <r>
    <x v="12"/>
    <s v="尋寶記26"/>
    <m/>
    <d v="2025-11-01T00:00:00"/>
    <n v="169.91428571428571"/>
    <s v="MOMO"/>
    <m/>
    <m/>
    <m/>
    <s v="雙11"/>
    <n v="169.91428571428571"/>
    <s v=""/>
    <n v="1"/>
  </r>
  <r>
    <x v="12"/>
    <s v="尋寶記27"/>
    <m/>
    <d v="2025-11-01T00:00:00"/>
    <n v="169.91428571428571"/>
    <s v="MOMO"/>
    <m/>
    <m/>
    <m/>
    <s v="雙11"/>
    <n v="169.91428571428571"/>
    <s v=""/>
    <n v="1"/>
  </r>
  <r>
    <x v="12"/>
    <s v="尋寶記28"/>
    <m/>
    <d v="2025-11-01T00:00:00"/>
    <n v="169.91428571428571"/>
    <s v="MOMO"/>
    <m/>
    <m/>
    <m/>
    <s v="雙11"/>
    <n v="169.91428571428571"/>
    <s v=""/>
    <n v="1"/>
  </r>
  <r>
    <x v="12"/>
    <s v="尋寶記29"/>
    <m/>
    <d v="2025-11-01T00:00:00"/>
    <n v="169.91428571428571"/>
    <s v="MOMO"/>
    <m/>
    <m/>
    <m/>
    <s v="雙11"/>
    <n v="169.91428571428571"/>
    <s v=""/>
    <n v="1"/>
  </r>
  <r>
    <x v="12"/>
    <s v="尋寶記30"/>
    <m/>
    <d v="2025-11-01T00:00:00"/>
    <n v="169.91428571428571"/>
    <s v="MOMO"/>
    <m/>
    <m/>
    <m/>
    <s v="雙11"/>
    <n v="169.91428571428571"/>
    <s v=""/>
    <n v="1"/>
  </r>
  <r>
    <x v="12"/>
    <s v="尋寶記31"/>
    <m/>
    <d v="2025-11-01T00:00:00"/>
    <n v="169.91428571428571"/>
    <s v="MOMO"/>
    <m/>
    <m/>
    <m/>
    <s v="雙11"/>
    <n v="169.91428571428571"/>
    <s v=""/>
    <n v="1"/>
  </r>
  <r>
    <x v="12"/>
    <s v="尋寶記32"/>
    <m/>
    <d v="2025-11-01T00:00:00"/>
    <n v="169.91428571428571"/>
    <s v="MOMO"/>
    <m/>
    <m/>
    <m/>
    <s v="雙11"/>
    <n v="169.91428571428571"/>
    <s v=""/>
    <n v="1"/>
  </r>
  <r>
    <x v="12"/>
    <s v="尋寶記33"/>
    <m/>
    <d v="2025-11-01T00:00:00"/>
    <n v="169.91428571428571"/>
    <s v="MOMO"/>
    <m/>
    <m/>
    <m/>
    <s v="雙11"/>
    <n v="169.91428571428571"/>
    <s v=""/>
    <n v="1"/>
  </r>
  <r>
    <x v="12"/>
    <s v="尋寶記34"/>
    <m/>
    <d v="2025-11-01T00:00:00"/>
    <n v="169.91428571428571"/>
    <s v="MOMO"/>
    <m/>
    <m/>
    <m/>
    <s v="雙11"/>
    <n v="169.91428571428571"/>
    <s v=""/>
    <n v="1"/>
  </r>
  <r>
    <x v="12"/>
    <s v="尋寶記35"/>
    <m/>
    <d v="2025-11-01T00:00:00"/>
    <n v="169.91428571428571"/>
    <s v="MOMO"/>
    <m/>
    <m/>
    <m/>
    <s v="雙11"/>
    <n v="169.91428571428571"/>
    <s v=""/>
    <n v="1"/>
  </r>
  <r>
    <x v="12"/>
    <s v="科學實驗王1-酸鹼中和"/>
    <s v="V"/>
    <d v="2025-11-01T00:00:00"/>
    <n v="165.2"/>
    <s v="MOMO"/>
    <m/>
    <m/>
    <d v="2025-11-20T00:00:00"/>
    <s v="雙11"/>
    <n v="165.2"/>
    <n v="1"/>
    <n v="1"/>
  </r>
  <r>
    <x v="12"/>
    <s v="科學實驗王2-牛頓運動定律"/>
    <s v="V"/>
    <d v="2025-11-01T00:00:00"/>
    <n v="165.2"/>
    <s v="MOMO"/>
    <m/>
    <m/>
    <d v="2025-11-22T00:00:00"/>
    <s v="雙11"/>
    <n v="165.2"/>
    <n v="1"/>
    <n v="1"/>
  </r>
  <r>
    <x v="12"/>
    <s v="科學實驗王3-光的折射與反射"/>
    <s v="V"/>
    <d v="2025-11-01T00:00:00"/>
    <n v="165.2"/>
    <s v="MOMO"/>
    <m/>
    <m/>
    <d v="2025-11-23T00:00:00"/>
    <s v="雙11"/>
    <n v="165.2"/>
    <n v="1"/>
    <n v="1"/>
  </r>
  <r>
    <x v="12"/>
    <s v="科學實驗王4-光合作用與呼吸作用"/>
    <s v="V"/>
    <d v="2025-11-01T00:00:00"/>
    <n v="165.2"/>
    <s v="MOMO"/>
    <m/>
    <m/>
    <d v="2025-11-25T00:00:00"/>
    <s v="雙11"/>
    <n v="165.2"/>
    <n v="1"/>
    <n v="1"/>
  </r>
  <r>
    <x v="12"/>
    <s v="科學實驗王5-電流與磁力"/>
    <s v="V"/>
    <d v="2025-11-01T00:00:00"/>
    <n v="165.2"/>
    <s v="MOMO"/>
    <m/>
    <m/>
    <d v="2025-11-26T00:00:00"/>
    <s v="雙11"/>
    <n v="165.2"/>
    <n v="1"/>
    <n v="1"/>
  </r>
  <r>
    <x v="12"/>
    <s v="科學實驗王6-環境與污染"/>
    <s v="V"/>
    <d v="2025-11-01T00:00:00"/>
    <n v="165.2"/>
    <s v="MOMO"/>
    <m/>
    <m/>
    <d v="2025-11-28T00:00:00"/>
    <s v="雙11"/>
    <n v="165.2"/>
    <n v="1"/>
    <n v="1"/>
  </r>
  <r>
    <x v="12"/>
    <s v="科學實驗王7-人體的奧秘"/>
    <s v="V"/>
    <d v="2025-11-01T00:00:00"/>
    <n v="165.2"/>
    <s v="MOMO"/>
    <m/>
    <m/>
    <d v="2025-11-29T00:00:00"/>
    <s v="雙11"/>
    <n v="165.2"/>
    <n v="1"/>
    <n v="1"/>
  </r>
  <r>
    <x v="12"/>
    <s v="科學實驗王8-基因與遺傳"/>
    <s v="V"/>
    <d v="2025-11-01T00:00:00"/>
    <n v="165.2"/>
    <s v="MOMO"/>
    <m/>
    <m/>
    <d v="2026-04-04T00:00:00"/>
    <s v="雙11"/>
    <n v="165.2"/>
    <n v="1"/>
    <n v="1"/>
  </r>
  <r>
    <x v="12"/>
    <s v="科學實驗王9"/>
    <m/>
    <d v="2025-11-01T00:00:00"/>
    <n v="165.2"/>
    <s v="MOMO"/>
    <m/>
    <m/>
    <m/>
    <s v="雙11"/>
    <n v="165.2"/>
    <s v=""/>
    <n v="1"/>
  </r>
  <r>
    <x v="12"/>
    <s v="科學實驗王10"/>
    <m/>
    <d v="2025-11-01T00:00:00"/>
    <n v="165.2"/>
    <s v="MOMO"/>
    <m/>
    <m/>
    <m/>
    <s v="雙11"/>
    <n v="165.2"/>
    <s v=""/>
    <n v="1"/>
  </r>
  <r>
    <x v="12"/>
    <s v="科學實驗王11"/>
    <m/>
    <d v="2025-11-01T00:00:00"/>
    <n v="165.2"/>
    <s v="MOMO"/>
    <m/>
    <m/>
    <m/>
    <s v="雙11"/>
    <n v="165.2"/>
    <s v=""/>
    <n v="1"/>
  </r>
  <r>
    <x v="12"/>
    <s v="科學實驗王12"/>
    <m/>
    <d v="2025-11-01T00:00:00"/>
    <n v="165.2"/>
    <s v="MOMO"/>
    <m/>
    <m/>
    <m/>
    <s v="雙11"/>
    <n v="165.2"/>
    <s v=""/>
    <n v="1"/>
  </r>
  <r>
    <x v="12"/>
    <s v="科學實驗王13"/>
    <m/>
    <d v="2025-11-01T00:00:00"/>
    <n v="165.2"/>
    <s v="MOMO"/>
    <m/>
    <m/>
    <m/>
    <s v="雙11"/>
    <n v="165.2"/>
    <s v=""/>
    <n v="1"/>
  </r>
  <r>
    <x v="12"/>
    <s v="科學實驗王14"/>
    <m/>
    <d v="2025-11-01T00:00:00"/>
    <n v="165.2"/>
    <s v="MOMO"/>
    <m/>
    <m/>
    <m/>
    <s v="雙11"/>
    <n v="165.2"/>
    <s v=""/>
    <n v="1"/>
  </r>
  <r>
    <x v="12"/>
    <s v="科學實驗王15"/>
    <m/>
    <d v="2025-11-01T00:00:00"/>
    <n v="165.2"/>
    <s v="MOMO"/>
    <m/>
    <m/>
    <m/>
    <s v="雙11"/>
    <n v="165.2"/>
    <s v=""/>
    <n v="1"/>
  </r>
  <r>
    <x v="12"/>
    <s v="科學實驗王16"/>
    <m/>
    <d v="2025-11-01T00:00:00"/>
    <n v="165.2"/>
    <s v="MOMO"/>
    <m/>
    <m/>
    <m/>
    <s v="雙11"/>
    <n v="165.2"/>
    <s v=""/>
    <n v="1"/>
  </r>
  <r>
    <x v="12"/>
    <s v="科學實驗王17"/>
    <m/>
    <d v="2025-11-01T00:00:00"/>
    <n v="165.2"/>
    <s v="MOMO"/>
    <m/>
    <m/>
    <m/>
    <s v="雙11"/>
    <n v="165.2"/>
    <s v=""/>
    <n v="1"/>
  </r>
  <r>
    <x v="12"/>
    <s v="科學實驗王18"/>
    <m/>
    <d v="2025-11-01T00:00:00"/>
    <n v="165.2"/>
    <s v="MOMO"/>
    <m/>
    <m/>
    <m/>
    <s v="雙11"/>
    <n v="165.2"/>
    <s v=""/>
    <n v="1"/>
  </r>
  <r>
    <x v="12"/>
    <s v="科學實驗王19"/>
    <m/>
    <d v="2025-11-01T00:00:00"/>
    <n v="165.2"/>
    <s v="MOMO"/>
    <m/>
    <m/>
    <m/>
    <s v="雙11"/>
    <n v="165.2"/>
    <s v=""/>
    <n v="1"/>
  </r>
  <r>
    <x v="12"/>
    <s v="科學實驗王20"/>
    <m/>
    <d v="2025-11-01T00:00:00"/>
    <n v="165.2"/>
    <s v="MOMO"/>
    <m/>
    <m/>
    <m/>
    <s v="雙11"/>
    <n v="165.2"/>
    <s v=""/>
    <n v="1"/>
  </r>
  <r>
    <x v="12"/>
    <s v="希臘羅馬神話1"/>
    <m/>
    <d v="2025-11-01T00:00:00"/>
    <n v="188.8"/>
    <s v="MOMO"/>
    <m/>
    <m/>
    <m/>
    <s v="雙11"/>
    <n v="188.8"/>
    <s v=""/>
    <n v="1"/>
  </r>
  <r>
    <x v="12"/>
    <s v="希臘羅馬神話2"/>
    <m/>
    <d v="2025-11-01T00:00:00"/>
    <n v="188.8"/>
    <s v="MOMO"/>
    <m/>
    <m/>
    <m/>
    <s v="雙11"/>
    <n v="188.8"/>
    <s v=""/>
    <n v="1"/>
  </r>
  <r>
    <x v="12"/>
    <s v="希臘羅馬神話3"/>
    <m/>
    <d v="2025-11-01T00:00:00"/>
    <n v="188.8"/>
    <s v="MOMO"/>
    <m/>
    <m/>
    <m/>
    <s v="雙11"/>
    <n v="188.8"/>
    <s v=""/>
    <n v="1"/>
  </r>
  <r>
    <x v="12"/>
    <s v="希臘羅馬神話4"/>
    <m/>
    <d v="2025-11-01T00:00:00"/>
    <n v="188.8"/>
    <s v="MOMO"/>
    <m/>
    <m/>
    <m/>
    <s v="雙11"/>
    <n v="188.8"/>
    <s v=""/>
    <n v="1"/>
  </r>
  <r>
    <x v="12"/>
    <s v="希臘羅馬神話5"/>
    <m/>
    <d v="2025-11-01T00:00:00"/>
    <n v="188.8"/>
    <s v="MOMO"/>
    <m/>
    <m/>
    <m/>
    <s v="雙11"/>
    <n v="188.8"/>
    <s v=""/>
    <n v="1"/>
  </r>
  <r>
    <x v="12"/>
    <s v="希臘羅馬神話6"/>
    <m/>
    <d v="2025-11-01T00:00:00"/>
    <n v="188.8"/>
    <s v="MOMO"/>
    <m/>
    <m/>
    <m/>
    <s v="雙11"/>
    <n v="188.8"/>
    <s v=""/>
    <n v="1"/>
  </r>
  <r>
    <x v="12"/>
    <s v="希臘羅馬神話7"/>
    <m/>
    <d v="2025-11-01T00:00:00"/>
    <n v="188.8"/>
    <s v="MOMO"/>
    <m/>
    <m/>
    <m/>
    <s v="雙11"/>
    <n v="188.8"/>
    <s v=""/>
    <n v="1"/>
  </r>
  <r>
    <x v="12"/>
    <s v="希臘羅馬神話8"/>
    <m/>
    <d v="2025-11-01T00:00:00"/>
    <n v="188.8"/>
    <s v="MOMO"/>
    <m/>
    <m/>
    <m/>
    <s v="雙11"/>
    <n v="188.8"/>
    <s v=""/>
    <n v="1"/>
  </r>
  <r>
    <x v="12"/>
    <s v="希臘羅馬神話9"/>
    <m/>
    <d v="2025-11-01T00:00:00"/>
    <n v="188.8"/>
    <s v="MOMO"/>
    <m/>
    <m/>
    <m/>
    <s v="雙11"/>
    <n v="188.8"/>
    <s v=""/>
    <n v="1"/>
  </r>
  <r>
    <x v="12"/>
    <s v="希臘羅馬神話10"/>
    <m/>
    <d v="2025-11-01T00:00:00"/>
    <n v="188.8"/>
    <s v="MOMO"/>
    <m/>
    <m/>
    <m/>
    <s v="雙11"/>
    <n v="188.8"/>
    <s v=""/>
    <n v="1"/>
  </r>
  <r>
    <x v="12"/>
    <s v="大英百科-科技6-人工智慧"/>
    <s v="V"/>
    <d v="2025-06-10T00:00:00"/>
    <n v="297"/>
    <s v="MOMO"/>
    <m/>
    <m/>
    <d v="2026-03-14T00:00:00"/>
    <m/>
    <n v="297"/>
    <n v="1"/>
    <n v="1"/>
  </r>
  <r>
    <x v="12"/>
    <s v="大英百科-科技7-巨量資料"/>
    <m/>
    <d v="2025-06-10T00:00:00"/>
    <n v="297"/>
    <s v="MOMO"/>
    <m/>
    <m/>
    <m/>
    <m/>
    <n v="297"/>
    <s v=""/>
    <n v="1"/>
  </r>
  <r>
    <x v="12"/>
    <s v="大英百科-科技8-生物科技"/>
    <m/>
    <d v="2025-06-10T00:00:00"/>
    <n v="297"/>
    <s v="MOMO"/>
    <m/>
    <m/>
    <m/>
    <m/>
    <n v="297"/>
    <s v=""/>
    <n v="1"/>
  </r>
  <r>
    <x v="12"/>
    <s v="大英百科-科技9-自駕車"/>
    <m/>
    <d v="2025-06-10T00:00:00"/>
    <n v="297"/>
    <s v="MOMO"/>
    <m/>
    <m/>
    <m/>
    <m/>
    <n v="297"/>
    <s v=""/>
    <n v="1"/>
  </r>
  <r>
    <x v="12"/>
    <s v="大英百科-科技10-NASA與航太科技"/>
    <m/>
    <d v="2025-06-10T00:00:00"/>
    <n v="297"/>
    <s v="MOMO"/>
    <m/>
    <m/>
    <m/>
    <m/>
    <n v="297"/>
    <s v=""/>
    <n v="1"/>
  </r>
  <r>
    <x v="12"/>
    <s v="大英百科-生物地科1-昆蟲與蜘蛛"/>
    <m/>
    <d v="2026-03-07T00:00:00"/>
    <n v="247.8"/>
    <s v="MOMO"/>
    <m/>
    <m/>
    <m/>
    <m/>
    <n v="247.8"/>
    <s v=""/>
    <n v="1"/>
  </r>
  <r>
    <x v="12"/>
    <s v="大英百科-生物地科2-地球"/>
    <m/>
    <d v="2026-03-07T00:00:00"/>
    <n v="247.8"/>
    <s v="MOMO"/>
    <m/>
    <m/>
    <m/>
    <m/>
    <n v="247.8"/>
    <s v=""/>
    <n v="1"/>
  </r>
  <r>
    <x v="12"/>
    <s v="大英百科-生物地科3-微生物"/>
    <m/>
    <d v="2026-03-07T00:00:00"/>
    <n v="247.8"/>
    <s v="MOMO"/>
    <m/>
    <m/>
    <m/>
    <m/>
    <n v="247.8"/>
    <s v=""/>
    <n v="1"/>
  </r>
  <r>
    <x v="12"/>
    <s v="大英百科-生物地科4-兩棲類與爬蟲類"/>
    <m/>
    <d v="2026-03-07T00:00:00"/>
    <n v="247.8"/>
    <s v="MOMO"/>
    <m/>
    <m/>
    <m/>
    <m/>
    <n v="247.8"/>
    <s v=""/>
    <n v="1"/>
  </r>
  <r>
    <x v="12"/>
    <s v="大英百科-生物地科5-潮間帶"/>
    <m/>
    <d v="2026-03-07T00:00:00"/>
    <n v="247.8"/>
    <s v="MOMO"/>
    <m/>
    <m/>
    <m/>
    <m/>
    <n v="247.8"/>
    <s v=""/>
    <n v="1"/>
  </r>
  <r>
    <x v="12"/>
    <s v="大英百科-生物地科6-天氣"/>
    <m/>
    <d v="2026-03-07T00:00:00"/>
    <n v="247.8"/>
    <s v="MOMO"/>
    <m/>
    <m/>
    <m/>
    <m/>
    <n v="247.8"/>
    <s v=""/>
    <n v="1"/>
  </r>
  <r>
    <x v="12"/>
    <s v="大英百科-生物地科7-龐物家禽家畜"/>
    <m/>
    <d v="2026-03-07T00:00:00"/>
    <n v="247.8"/>
    <s v="MOMO"/>
    <m/>
    <m/>
    <m/>
    <m/>
    <n v="247.8"/>
    <s v=""/>
    <n v="1"/>
  </r>
  <r>
    <x v="12"/>
    <s v="大英百科-生物地科8-恐龍"/>
    <m/>
    <d v="2026-03-07T00:00:00"/>
    <n v="247.8"/>
    <s v="MOMO"/>
    <m/>
    <m/>
    <m/>
    <m/>
    <n v="247.8"/>
    <s v=""/>
    <n v="1"/>
  </r>
  <r>
    <x v="12"/>
    <s v="大英百科-生物地科9-環境"/>
    <m/>
    <d v="2026-03-07T00:00:00"/>
    <n v="247.8"/>
    <s v="MOMO"/>
    <m/>
    <m/>
    <m/>
    <m/>
    <n v="247.8"/>
    <s v=""/>
    <n v="1"/>
  </r>
  <r>
    <x v="12"/>
    <s v="大英百科-生物地科10-北極與南極"/>
    <m/>
    <d v="2026-03-07T00:00:00"/>
    <n v="247.8"/>
    <s v="MOMO"/>
    <m/>
    <m/>
    <m/>
    <m/>
    <n v="247.8"/>
    <s v=""/>
    <n v="1"/>
  </r>
  <r>
    <x v="12"/>
    <s v="大英百科-物理化學1-宇宙"/>
    <m/>
    <d v="2026-03-07T00:00:00"/>
    <n v="247.8"/>
    <s v="MOMO"/>
    <m/>
    <m/>
    <m/>
    <m/>
    <n v="247.8"/>
    <s v=""/>
    <n v="1"/>
  </r>
  <r>
    <x v="12"/>
    <s v="大英百科-物理化學2-光與聲音"/>
    <m/>
    <d v="2026-03-07T00:00:00"/>
    <n v="247.8"/>
    <s v="MOMO"/>
    <m/>
    <m/>
    <m/>
    <m/>
    <n v="247.8"/>
    <s v=""/>
    <n v="1"/>
  </r>
  <r>
    <x v="12"/>
    <s v="大英百科-物理化學3-物質的特性"/>
    <m/>
    <d v="2026-03-07T00:00:00"/>
    <n v="247.8"/>
    <s v="MOMO"/>
    <m/>
    <m/>
    <m/>
    <m/>
    <n v="247.8"/>
    <s v=""/>
    <n v="1"/>
  </r>
  <r>
    <x v="12"/>
    <s v="大英百科-物理化學4-力與能量"/>
    <m/>
    <d v="2026-03-07T00:00:00"/>
    <n v="247.8"/>
    <s v="MOMO"/>
    <m/>
    <m/>
    <m/>
    <m/>
    <n v="247.8"/>
    <s v=""/>
    <n v="1"/>
  </r>
  <r>
    <x v="12"/>
    <s v="大英百科-物理化學5-水"/>
    <m/>
    <d v="2026-03-07T00:00:00"/>
    <n v="247.8"/>
    <s v="MOMO"/>
    <m/>
    <m/>
    <m/>
    <m/>
    <n v="247.8"/>
    <s v=""/>
    <n v="1"/>
  </r>
  <r>
    <x v="12"/>
    <s v="小妖怪1"/>
    <s v="V"/>
    <d v="2024-09-11T00:00:00"/>
    <n v="179"/>
    <s v="其他"/>
    <n v="-161"/>
    <m/>
    <m/>
    <m/>
    <n v="18"/>
    <n v="1"/>
    <n v="1"/>
  </r>
  <r>
    <x v="12"/>
    <s v="小妖怪2"/>
    <s v="V"/>
    <d v="2024-09-11T00:00:00"/>
    <n v="179"/>
    <s v="其他"/>
    <n v="-161"/>
    <m/>
    <m/>
    <m/>
    <n v="18"/>
    <n v="1"/>
    <n v="1"/>
  </r>
  <r>
    <x v="12"/>
    <s v="小妖怪3"/>
    <s v="V"/>
    <d v="2024-09-11T00:00:00"/>
    <n v="179"/>
    <s v="其他"/>
    <n v="-161"/>
    <m/>
    <m/>
    <m/>
    <n v="18"/>
    <n v="1"/>
    <n v="1"/>
  </r>
  <r>
    <x v="12"/>
    <s v="小妖怪4"/>
    <s v="V"/>
    <d v="2024-09-11T00:00:00"/>
    <n v="179"/>
    <s v="其他"/>
    <n v="-161"/>
    <m/>
    <m/>
    <m/>
    <n v="18"/>
    <n v="1"/>
    <n v="1"/>
  </r>
  <r>
    <x v="12"/>
    <s v="小妖怪5"/>
    <s v="V"/>
    <d v="2024-09-11T00:00:00"/>
    <n v="179"/>
    <s v="其他"/>
    <n v="-161"/>
    <m/>
    <m/>
    <m/>
    <n v="18"/>
    <n v="1"/>
    <n v="1"/>
  </r>
  <r>
    <x v="12"/>
    <s v="小妖怪6"/>
    <s v="V"/>
    <d v="2024-09-11T00:00:00"/>
    <n v="179"/>
    <s v="其他"/>
    <n v="-161"/>
    <m/>
    <m/>
    <m/>
    <n v="18"/>
    <n v="1"/>
    <n v="1"/>
  </r>
  <r>
    <x v="12"/>
    <s v="小妖怪7"/>
    <s v="V"/>
    <d v="2024-09-11T00:00:00"/>
    <n v="179"/>
    <s v="其他"/>
    <n v="-161"/>
    <m/>
    <m/>
    <m/>
    <n v="18"/>
    <n v="1"/>
    <n v="1"/>
  </r>
  <r>
    <x v="12"/>
    <s v="小妖怪8"/>
    <s v="V"/>
    <d v="2024-09-11T00:00:00"/>
    <n v="179"/>
    <s v="其他"/>
    <n v="-161"/>
    <m/>
    <m/>
    <m/>
    <n v="18"/>
    <n v="1"/>
    <n v="1"/>
  </r>
  <r>
    <x v="12"/>
    <s v="小妖怪9"/>
    <s v="V"/>
    <d v="2024-09-11T00:00:00"/>
    <n v="179"/>
    <s v="其他"/>
    <n v="-161"/>
    <m/>
    <m/>
    <m/>
    <n v="18"/>
    <n v="1"/>
    <n v="1"/>
  </r>
  <r>
    <x v="12"/>
    <s v="小妖怪10"/>
    <s v="V"/>
    <d v="2024-09-11T00:00:00"/>
    <n v="179"/>
    <s v="其他"/>
    <n v="-161"/>
    <m/>
    <m/>
    <m/>
    <n v="18"/>
    <n v="1"/>
    <n v="1"/>
  </r>
  <r>
    <x v="12"/>
    <s v="小妖怪11"/>
    <s v="V"/>
    <d v="2024-10-20T00:00:00"/>
    <n v="219"/>
    <s v="MOMO"/>
    <n v="-171"/>
    <m/>
    <m/>
    <s v="有點數每本折10元，未扣"/>
    <n v="48"/>
    <n v="1"/>
    <n v="1"/>
  </r>
  <r>
    <x v="12"/>
    <s v="小妖怪12"/>
    <s v="V"/>
    <d v="2024-10-20T00:00:00"/>
    <n v="219"/>
    <s v="MOMO"/>
    <n v="-171"/>
    <m/>
    <m/>
    <s v="有點數每本折10元，未扣"/>
    <n v="48"/>
    <n v="1"/>
    <n v="1"/>
  </r>
  <r>
    <x v="12"/>
    <s v="小妖怪13"/>
    <s v="V"/>
    <d v="2024-10-20T00:00:00"/>
    <n v="219"/>
    <s v="MOMO"/>
    <n v="-171"/>
    <m/>
    <m/>
    <s v="有點數每本折10元，未扣"/>
    <n v="48"/>
    <n v="1"/>
    <n v="1"/>
  </r>
  <r>
    <x v="12"/>
    <s v="小妖怪14"/>
    <s v="V"/>
    <d v="2024-10-20T00:00:00"/>
    <n v="219"/>
    <s v="MOMO"/>
    <n v="-171"/>
    <m/>
    <m/>
    <s v="有點數每本折10元，未扣"/>
    <n v="48"/>
    <n v="1"/>
    <n v="1"/>
  </r>
  <r>
    <x v="12"/>
    <s v="小妖怪15"/>
    <s v="V"/>
    <d v="2024-10-20T00:00:00"/>
    <n v="219"/>
    <s v="MOMO"/>
    <n v="-171"/>
    <m/>
    <m/>
    <s v="有點數每本折10元，未扣"/>
    <n v="48"/>
    <n v="1"/>
    <n v="1"/>
  </r>
  <r>
    <x v="12"/>
    <s v="小妖怪16"/>
    <s v="V"/>
    <d v="2024-10-20T00:00:00"/>
    <n v="219"/>
    <s v="MOMO"/>
    <n v="-171"/>
    <m/>
    <m/>
    <s v="有點數每本折10元，未扣"/>
    <n v="48"/>
    <n v="1"/>
    <n v="1"/>
  </r>
  <r>
    <x v="12"/>
    <s v="小妖怪17"/>
    <s v="V"/>
    <d v="2024-10-20T00:00:00"/>
    <n v="219"/>
    <s v="MOMO"/>
    <n v="-171"/>
    <m/>
    <m/>
    <s v="有點數每本折10元，未扣"/>
    <n v="48"/>
    <n v="1"/>
    <n v="1"/>
  </r>
  <r>
    <x v="12"/>
    <s v="小妖怪18"/>
    <s v="V"/>
    <d v="2024-10-20T00:00:00"/>
    <n v="219"/>
    <s v="MOMO"/>
    <n v="-171"/>
    <m/>
    <m/>
    <s v="有點數每本折10元，未扣"/>
    <n v="48"/>
    <n v="1"/>
    <n v="1"/>
  </r>
  <r>
    <x v="12"/>
    <s v="小妖怪19"/>
    <s v="V"/>
    <d v="2024-10-20T00:00:00"/>
    <n v="219"/>
    <s v="MOMO"/>
    <n v="-171"/>
    <m/>
    <m/>
    <s v="有點數每本折10元，未扣"/>
    <n v="48"/>
    <n v="1"/>
    <n v="1"/>
  </r>
  <r>
    <x v="12"/>
    <s v="小妖怪20"/>
    <s v="V"/>
    <d v="2024-10-20T00:00:00"/>
    <n v="219"/>
    <s v="MOMO"/>
    <n v="-171"/>
    <m/>
    <m/>
    <s v="有點數每本折10元，未扣"/>
    <n v="48"/>
    <n v="1"/>
    <n v="1"/>
  </r>
  <r>
    <x v="12"/>
    <s v="小妖怪21"/>
    <s v="V"/>
    <d v="2024-10-31T00:00:00"/>
    <n v="177"/>
    <s v="FB"/>
    <n v="-171"/>
    <m/>
    <m/>
    <m/>
    <n v="6"/>
    <n v="1"/>
    <n v="1"/>
  </r>
  <r>
    <x v="12"/>
    <s v="小妖怪22"/>
    <s v="V"/>
    <d v="2024-10-31T00:00:00"/>
    <n v="177"/>
    <s v="FB"/>
    <n v="-171"/>
    <m/>
    <m/>
    <m/>
    <n v="6"/>
    <n v="1"/>
    <n v="1"/>
  </r>
  <r>
    <x v="12"/>
    <s v="小妖怪23"/>
    <s v="V"/>
    <d v="2024-10-31T00:00:00"/>
    <n v="177"/>
    <s v="FB"/>
    <n v="-171"/>
    <m/>
    <m/>
    <m/>
    <n v="6"/>
    <n v="1"/>
    <n v="1"/>
  </r>
  <r>
    <x v="12"/>
    <s v="小妖怪24"/>
    <s v="V"/>
    <d v="2024-10-31T00:00:00"/>
    <n v="177"/>
    <s v="FB"/>
    <n v="-171"/>
    <m/>
    <m/>
    <m/>
    <n v="6"/>
    <n v="1"/>
    <n v="1"/>
  </r>
  <r>
    <x v="12"/>
    <s v="小妖怪25"/>
    <s v="V"/>
    <d v="2024-10-31T00:00:00"/>
    <n v="177"/>
    <s v="FB"/>
    <n v="-171"/>
    <m/>
    <m/>
    <m/>
    <n v="6"/>
    <n v="1"/>
    <n v="1"/>
  </r>
  <r>
    <x v="12"/>
    <s v="小妖怪26"/>
    <s v="V"/>
    <d v="2024-10-31T00:00:00"/>
    <n v="177"/>
    <s v="FB"/>
    <n v="-171"/>
    <m/>
    <m/>
    <m/>
    <n v="6"/>
    <n v="1"/>
    <n v="1"/>
  </r>
  <r>
    <x v="12"/>
    <s v="小妖怪27"/>
    <s v="V"/>
    <d v="2024-10-31T00:00:00"/>
    <n v="177"/>
    <s v="FB"/>
    <n v="-171"/>
    <m/>
    <m/>
    <m/>
    <n v="6"/>
    <n v="1"/>
    <n v="1"/>
  </r>
  <r>
    <x v="12"/>
    <s v="小妖怪28"/>
    <s v="V"/>
    <d v="2024-10-31T00:00:00"/>
    <n v="177"/>
    <s v="FB"/>
    <n v="-171"/>
    <m/>
    <m/>
    <m/>
    <n v="6"/>
    <n v="1"/>
    <n v="1"/>
  </r>
  <r>
    <x v="12"/>
    <s v="小妖怪29"/>
    <s v="V"/>
    <d v="2024-10-31T00:00:00"/>
    <n v="177"/>
    <s v="FB"/>
    <n v="-171"/>
    <m/>
    <m/>
    <m/>
    <n v="6"/>
    <n v="1"/>
    <n v="1"/>
  </r>
  <r>
    <x v="12"/>
    <s v="小妖怪30"/>
    <s v="V"/>
    <d v="2024-10-31T00:00:00"/>
    <n v="177"/>
    <s v="FB"/>
    <n v="-171"/>
    <m/>
    <m/>
    <m/>
    <n v="6"/>
    <n v="1"/>
    <n v="1"/>
  </r>
  <r>
    <x v="12"/>
    <s v="褲子小偷1"/>
    <s v="V"/>
    <d v="2024-09-12T00:00:00"/>
    <n v="247"/>
    <s v="其他"/>
    <m/>
    <m/>
    <d v="2026-04-06T00:00:00"/>
    <m/>
    <n v="247"/>
    <n v="1"/>
    <n v="1"/>
  </r>
  <r>
    <x v="12"/>
    <s v="褲子小偷2"/>
    <s v="V"/>
    <d v="2024-09-12T00:00:00"/>
    <n v="247"/>
    <s v="其他"/>
    <m/>
    <m/>
    <d v="2026-04-06T00:00:00"/>
    <m/>
    <n v="247"/>
    <n v="1"/>
    <n v="1"/>
  </r>
  <r>
    <x v="12"/>
    <s v="天才麵包理髮師1"/>
    <s v="V"/>
    <d v="2024-09-11T00:00:00"/>
    <n v="221"/>
    <s v="團書"/>
    <n v="-242.2"/>
    <d v="2026-02-24T00:00:00"/>
    <d v="2026-02-07T00:00:00"/>
    <s v="二刷、三刷"/>
    <n v="-21.199999999999989"/>
    <n v="1"/>
    <n v="1"/>
  </r>
  <r>
    <x v="12"/>
    <s v="天才麵包理髮師2"/>
    <s v="V"/>
    <d v="2024-09-11T00:00:00"/>
    <n v="221"/>
    <s v="團書"/>
    <n v="-242.2"/>
    <d v="2026-02-24T00:00:00"/>
    <m/>
    <m/>
    <n v="-21.199999999999989"/>
    <n v="1"/>
    <n v="1"/>
  </r>
  <r>
    <x v="12"/>
    <s v="天才麵包理髮師3"/>
    <s v="V"/>
    <d v="2024-09-11T00:00:00"/>
    <n v="221"/>
    <s v="團書"/>
    <n v="-242.2"/>
    <d v="2026-02-24T00:00:00"/>
    <m/>
    <m/>
    <n v="-21.199999999999989"/>
    <n v="1"/>
    <n v="1"/>
  </r>
  <r>
    <x v="12"/>
    <s v="天才麵包理髮師4"/>
    <s v="V"/>
    <d v="2024-09-11T00:00:00"/>
    <n v="221"/>
    <s v="團書"/>
    <n v="-242.2"/>
    <d v="2026-02-24T00:00:00"/>
    <m/>
    <m/>
    <n v="-21.199999999999989"/>
    <n v="1"/>
    <n v="1"/>
  </r>
  <r>
    <x v="12"/>
    <s v="天才麵包理髮師5"/>
    <s v="V"/>
    <d v="2024-09-11T00:00:00"/>
    <n v="221"/>
    <s v="團書"/>
    <n v="-242.2"/>
    <d v="2026-02-24T00:00:00"/>
    <m/>
    <m/>
    <n v="-21.199999999999989"/>
    <n v="1"/>
    <n v="1"/>
  </r>
  <r>
    <x v="12"/>
    <s v="普通兄妹的秘密日記1"/>
    <s v="V"/>
    <d v="2024-09-11T00:00:00"/>
    <n v="241"/>
    <s v="團書"/>
    <n v="-200"/>
    <m/>
    <m/>
    <m/>
    <n v="41"/>
    <n v="1"/>
    <n v="1"/>
  </r>
  <r>
    <x v="12"/>
    <s v="普通兄妹的秘密日記2"/>
    <s v="V"/>
    <d v="2024-09-11T00:00:00"/>
    <n v="241"/>
    <s v="團書"/>
    <n v="-200"/>
    <m/>
    <m/>
    <m/>
    <n v="41"/>
    <n v="1"/>
    <n v="1"/>
  </r>
  <r>
    <x v="12"/>
    <s v="普通兄妹的秘密日記3"/>
    <s v="V"/>
    <d v="2024-09-11T00:00:00"/>
    <n v="241"/>
    <s v="團書"/>
    <n v="-200"/>
    <m/>
    <m/>
    <m/>
    <n v="41"/>
    <n v="1"/>
    <n v="1"/>
  </r>
  <r>
    <x v="12"/>
    <s v="普通兄妹的密室逃脫任務1"/>
    <s v="V"/>
    <d v="2024-09-11T00:00:00"/>
    <n v="241"/>
    <s v="團書"/>
    <n v="-231"/>
    <d v="2026-01-14T00:00:00"/>
    <m/>
    <m/>
    <n v="10"/>
    <n v="1"/>
    <n v="1"/>
  </r>
  <r>
    <x v="12"/>
    <s v="普通兄妹的密室逃脫任務2"/>
    <s v="V"/>
    <d v="2024-09-11T00:00:00"/>
    <n v="241"/>
    <s v="團書"/>
    <n v="-231"/>
    <d v="2026-01-14T00:00:00"/>
    <m/>
    <m/>
    <n v="10"/>
    <n v="1"/>
    <n v="1"/>
  </r>
  <r>
    <x v="12"/>
    <s v="天才圍棋王1"/>
    <s v="V"/>
    <d v="2024-09-11T00:00:00"/>
    <n v="262"/>
    <s v="團書"/>
    <m/>
    <m/>
    <d v="2025-10-10T00:00:00"/>
    <m/>
    <n v="262"/>
    <n v="1"/>
    <n v="1"/>
  </r>
  <r>
    <x v="13"/>
    <s v="天生就是超級咖-我很奇怪但很可愛2"/>
    <s v="V"/>
    <d v="2025-05-28T00:00:00"/>
    <n v="271"/>
    <s v="團書"/>
    <m/>
    <m/>
    <d v="2026-02-01T00:00:00"/>
    <m/>
    <n v="271"/>
    <n v="1"/>
    <n v="1"/>
  </r>
  <r>
    <x v="13"/>
    <s v="好聰明漫畫醫學：生病了該怎麼辦？"/>
    <m/>
    <d v="2025-05-28T00:00:00"/>
    <n v="197"/>
    <s v="團書"/>
    <m/>
    <m/>
    <m/>
    <m/>
    <n v="197"/>
    <s v=""/>
    <n v="1"/>
  </r>
  <r>
    <x v="13"/>
    <s v="好聰明漫畫醫學：原來身體這樣運作"/>
    <m/>
    <d v="2025-05-28T00:00:00"/>
    <n v="200"/>
    <s v="團書"/>
    <m/>
    <m/>
    <m/>
    <m/>
    <n v="200"/>
    <s v=""/>
    <n v="1"/>
  </r>
  <r>
    <x v="13"/>
    <s v="漫書台灣故事1"/>
    <s v="V"/>
    <d v="2025-05-28T00:00:00"/>
    <n v="149.25"/>
    <s v="團書"/>
    <m/>
    <m/>
    <d v="2026-01-24T00:00:00"/>
    <s v="2刷"/>
    <n v="149.25"/>
    <n v="1"/>
    <n v="1"/>
  </r>
  <r>
    <x v="13"/>
    <s v="漫書台灣故事2"/>
    <s v="V"/>
    <d v="2025-05-28T00:00:00"/>
    <n v="149.25"/>
    <s v="團書"/>
    <m/>
    <m/>
    <m/>
    <m/>
    <n v="149.25"/>
    <n v="1"/>
    <n v="1"/>
  </r>
  <r>
    <x v="13"/>
    <s v="漫書台灣故事3"/>
    <m/>
    <d v="2025-05-28T00:00:00"/>
    <n v="149.25"/>
    <s v="團書"/>
    <m/>
    <m/>
    <m/>
    <m/>
    <n v="149.25"/>
    <s v=""/>
    <n v="1"/>
  </r>
  <r>
    <x v="13"/>
    <s v="漫書台灣故事4"/>
    <m/>
    <d v="2025-05-28T00:00:00"/>
    <n v="149.25"/>
    <s v="團書"/>
    <m/>
    <m/>
    <m/>
    <m/>
    <n v="149.25"/>
    <s v=""/>
    <n v="1"/>
  </r>
  <r>
    <x v="13"/>
    <s v="漫書台灣故事5"/>
    <m/>
    <d v="2025-05-28T00:00:00"/>
    <n v="149.25"/>
    <s v="團書"/>
    <m/>
    <m/>
    <m/>
    <m/>
    <n v="149.25"/>
    <s v=""/>
    <n v="1"/>
  </r>
  <r>
    <x v="13"/>
    <s v="漫書台灣故事6"/>
    <m/>
    <d v="2025-05-28T00:00:00"/>
    <n v="149.25"/>
    <s v="團書"/>
    <m/>
    <m/>
    <m/>
    <m/>
    <n v="149.25"/>
    <s v=""/>
    <n v="1"/>
  </r>
  <r>
    <x v="13"/>
    <s v="漫書台灣故事7"/>
    <m/>
    <d v="2025-05-28T00:00:00"/>
    <n v="149.25"/>
    <s v="團書"/>
    <m/>
    <m/>
    <m/>
    <m/>
    <n v="149.25"/>
    <s v=""/>
    <n v="1"/>
  </r>
  <r>
    <x v="13"/>
    <s v="漫書台灣故事8"/>
    <m/>
    <d v="2025-05-28T00:00:00"/>
    <n v="149.25"/>
    <s v="團書"/>
    <m/>
    <m/>
    <m/>
    <m/>
    <n v="149.25"/>
    <s v=""/>
    <n v="1"/>
  </r>
  <r>
    <x v="13"/>
    <s v="漫書台灣故事9"/>
    <m/>
    <d v="2025-05-28T00:00:00"/>
    <n v="149.25"/>
    <s v="團書"/>
    <m/>
    <m/>
    <m/>
    <m/>
    <n v="149.25"/>
    <s v=""/>
    <n v="1"/>
  </r>
  <r>
    <x v="13"/>
    <s v="漫書台灣故事10"/>
    <m/>
    <d v="2025-05-28T00:00:00"/>
    <n v="149.25"/>
    <s v="團書"/>
    <m/>
    <m/>
    <m/>
    <m/>
    <n v="149.25"/>
    <s v=""/>
    <n v="1"/>
  </r>
  <r>
    <x v="13"/>
    <s v="漫書台灣故事11"/>
    <m/>
    <d v="2025-05-28T00:00:00"/>
    <n v="149.25"/>
    <s v="團書"/>
    <m/>
    <m/>
    <m/>
    <m/>
    <n v="149.25"/>
    <s v=""/>
    <n v="1"/>
  </r>
  <r>
    <x v="13"/>
    <s v="漫書台灣故事12"/>
    <m/>
    <d v="2025-05-28T00:00:00"/>
    <n v="149.25"/>
    <s v="團書"/>
    <m/>
    <m/>
    <m/>
    <m/>
    <n v="149.25"/>
    <s v=""/>
    <n v="1"/>
  </r>
  <r>
    <x v="13"/>
    <s v="巴冷公主要嫁蛇王子(臺灣原生動物說故事1)"/>
    <m/>
    <d v="2025-05-28T00:00:00"/>
    <n v="218"/>
    <s v="團書"/>
    <m/>
    <m/>
    <m/>
    <m/>
    <n v="218"/>
    <s v=""/>
    <n v="1"/>
  </r>
  <r>
    <x v="13"/>
    <s v="魔法獠牙俠(臺灣原生動物說故事2)"/>
    <m/>
    <d v="2025-05-28T00:00:00"/>
    <n v="218"/>
    <s v="團書"/>
    <m/>
    <m/>
    <m/>
    <m/>
    <n v="218"/>
    <s v=""/>
    <n v="1"/>
  </r>
  <r>
    <x v="13"/>
    <s v="好好笑漫畫數學：買賣大作"/>
    <m/>
    <d v="2025-05-28T00:00:00"/>
    <n v="200"/>
    <s v="團書"/>
    <m/>
    <m/>
    <m/>
    <m/>
    <n v="200"/>
    <s v=""/>
    <n v="1"/>
  </r>
  <r>
    <x v="13"/>
    <s v="好好笑漫畫數學：生活數字王"/>
    <m/>
    <d v="2025-05-28T00:00:00"/>
    <n v="200"/>
    <s v="團書"/>
    <m/>
    <m/>
    <m/>
    <m/>
    <n v="200"/>
    <s v=""/>
    <n v="1"/>
  </r>
  <r>
    <x v="13"/>
    <s v="屁屁偵探1"/>
    <s v="V"/>
    <d v="2023-09-30T00:00:00"/>
    <n v="185.8"/>
    <s v="MOMO"/>
    <n v="-146.5"/>
    <m/>
    <m/>
    <m/>
    <n v="39.300000000000011"/>
    <n v="1"/>
    <n v="1"/>
  </r>
  <r>
    <x v="13"/>
    <s v="屁屁偵探2"/>
    <s v="V"/>
    <d v="2023-09-30T00:00:00"/>
    <n v="185.8"/>
    <s v="MOMO"/>
    <n v="-146.5"/>
    <m/>
    <m/>
    <m/>
    <n v="39.300000000000011"/>
    <n v="1"/>
    <n v="1"/>
  </r>
  <r>
    <x v="13"/>
    <s v="屁屁偵探3"/>
    <s v="V"/>
    <d v="2023-09-30T00:00:00"/>
    <n v="185.8"/>
    <s v="MOMO"/>
    <n v="-146.5"/>
    <m/>
    <m/>
    <m/>
    <n v="39.300000000000011"/>
    <n v="1"/>
    <n v="1"/>
  </r>
  <r>
    <x v="13"/>
    <s v="屁屁偵探4"/>
    <s v="V"/>
    <d v="2023-09-30T00:00:00"/>
    <n v="185.8"/>
    <s v="MOMO"/>
    <n v="-146.5"/>
    <m/>
    <m/>
    <m/>
    <n v="39.300000000000011"/>
    <n v="1"/>
    <n v="1"/>
  </r>
  <r>
    <x v="13"/>
    <s v="屁屁偵探5"/>
    <s v="V"/>
    <d v="2023-09-30T00:00:00"/>
    <n v="185.8"/>
    <s v="MOMO"/>
    <n v="-146.5"/>
    <m/>
    <m/>
    <m/>
    <n v="39.300000000000011"/>
    <n v="1"/>
    <n v="1"/>
  </r>
  <r>
    <x v="13"/>
    <s v="屁屁偵探6"/>
    <s v="V"/>
    <d v="2023-09-30T00:00:00"/>
    <n v="185.8"/>
    <s v="MOMO"/>
    <n v="-146.5"/>
    <m/>
    <m/>
    <m/>
    <n v="39.300000000000011"/>
    <n v="1"/>
    <n v="1"/>
  </r>
  <r>
    <x v="13"/>
    <s v="屁屁偵探7"/>
    <s v="V"/>
    <d v="2023-09-30T00:00:00"/>
    <n v="212.5"/>
    <s v="MOMO"/>
    <n v="-146.5"/>
    <m/>
    <m/>
    <m/>
    <n v="66"/>
    <n v="1"/>
    <n v="1"/>
  </r>
  <r>
    <x v="13"/>
    <s v="屁屁偵探8"/>
    <s v="V"/>
    <d v="2023-09-30T00:00:00"/>
    <n v="212.5"/>
    <s v="MOMO"/>
    <n v="-146.5"/>
    <m/>
    <m/>
    <m/>
    <n v="66"/>
    <n v="1"/>
    <n v="1"/>
  </r>
  <r>
    <x v="13"/>
    <s v="屁屁偵探9"/>
    <s v="V"/>
    <d v="2023-09-30T00:00:00"/>
    <n v="212.5"/>
    <s v="MOMO"/>
    <n v="-146.5"/>
    <m/>
    <m/>
    <m/>
    <n v="66"/>
    <n v="1"/>
    <n v="1"/>
  </r>
  <r>
    <x v="13"/>
    <s v="屁屁偵探10"/>
    <s v="V"/>
    <d v="2023-09-30T00:00:00"/>
    <n v="212.5"/>
    <s v="MOMO"/>
    <n v="-146.5"/>
    <m/>
    <m/>
    <m/>
    <n v="66"/>
    <n v="1"/>
    <n v="1"/>
  </r>
  <r>
    <x v="14"/>
    <s v="袖珍動物園1"/>
    <m/>
    <d v="2025-12-01T00:00:00"/>
    <n v="210.8"/>
    <s v="MOMO"/>
    <m/>
    <m/>
    <m/>
    <m/>
    <n v="210.8"/>
    <s v=""/>
    <n v="1"/>
  </r>
  <r>
    <x v="14"/>
    <s v="袖珍動物園2"/>
    <m/>
    <d v="2025-12-01T00:00:00"/>
    <n v="210.8"/>
    <s v="MOMO"/>
    <m/>
    <m/>
    <m/>
    <m/>
    <n v="210.8"/>
    <s v=""/>
    <n v="1"/>
  </r>
  <r>
    <x v="14"/>
    <s v="袖珍動物園3"/>
    <m/>
    <d v="2025-12-01T00:00:00"/>
    <n v="210.8"/>
    <s v="MOMO"/>
    <m/>
    <m/>
    <m/>
    <m/>
    <n v="210.8"/>
    <s v=""/>
    <n v="1"/>
  </r>
  <r>
    <x v="14"/>
    <s v="袖珍動物園4"/>
    <m/>
    <d v="2025-12-01T00:00:00"/>
    <n v="210.8"/>
    <s v="MOMO"/>
    <m/>
    <m/>
    <m/>
    <m/>
    <n v="210.8"/>
    <s v=""/>
    <n v="1"/>
  </r>
  <r>
    <x v="14"/>
    <s v="袖珍動物園5"/>
    <m/>
    <d v="2025-12-01T00:00:00"/>
    <n v="210.8"/>
    <s v="MOMO"/>
    <m/>
    <m/>
    <m/>
    <m/>
    <n v="210.8"/>
    <s v=""/>
    <n v="1"/>
  </r>
  <r>
    <x v="14"/>
    <s v="神探邁克狐1"/>
    <s v="X"/>
    <d v="2025-05-23T00:00:00"/>
    <n v="181.33333333333334"/>
    <s v="團書"/>
    <n v="-177"/>
    <d v="2026-01-04T00:00:00"/>
    <m/>
    <m/>
    <n v="4.3333333333333428"/>
    <n v="0"/>
    <n v="1"/>
  </r>
  <r>
    <x v="14"/>
    <s v="神探邁克狐2"/>
    <s v="X"/>
    <d v="2025-05-23T00:00:00"/>
    <n v="181.33333333333334"/>
    <s v="團書"/>
    <n v="-177"/>
    <d v="2026-01-04T00:00:00"/>
    <m/>
    <m/>
    <n v="4.3333333333333428"/>
    <n v="0"/>
    <n v="1"/>
  </r>
  <r>
    <x v="14"/>
    <s v="神探邁克狐3"/>
    <s v="X"/>
    <d v="2025-05-23T00:00:00"/>
    <n v="181.33333333333334"/>
    <s v="團書"/>
    <n v="-177"/>
    <d v="2026-01-04T00:00:00"/>
    <m/>
    <m/>
    <n v="4.3333333333333428"/>
    <n v="0"/>
    <n v="1"/>
  </r>
  <r>
    <x v="14"/>
    <s v="神探邁克狐4"/>
    <s v="X"/>
    <d v="2025-05-23T00:00:00"/>
    <n v="181.33333333333334"/>
    <s v="團書"/>
    <n v="-177"/>
    <d v="2026-01-04T00:00:00"/>
    <m/>
    <m/>
    <n v="4.3333333333333428"/>
    <n v="0"/>
    <n v="1"/>
  </r>
  <r>
    <x v="14"/>
    <s v="神探邁克狐5"/>
    <s v="X"/>
    <d v="2025-05-23T00:00:00"/>
    <n v="181.33333333333334"/>
    <s v="團書"/>
    <n v="-177"/>
    <d v="2026-01-04T00:00:00"/>
    <m/>
    <m/>
    <n v="4.3333333333333428"/>
    <n v="0"/>
    <n v="1"/>
  </r>
  <r>
    <x v="14"/>
    <s v="神探邁克狐6"/>
    <s v="X"/>
    <d v="2025-05-23T00:00:00"/>
    <n v="181.33333333333334"/>
    <s v="團書"/>
    <n v="-177"/>
    <d v="2026-01-04T00:00:00"/>
    <m/>
    <m/>
    <n v="4.3333333333333428"/>
    <n v="0"/>
    <n v="1"/>
  </r>
  <r>
    <x v="14"/>
    <s v="欖仁媽媽全球新聞臺【生活篇】小故事讀懂世界，成為守護SDGs的地球小公民"/>
    <m/>
    <d v="2026-01-14T00:00:00"/>
    <n v="222.72727272727272"/>
    <s v="讀共"/>
    <m/>
    <m/>
    <m/>
    <s v="110冊24500元"/>
    <n v="222.72727272727272"/>
    <s v=""/>
    <n v="1"/>
  </r>
  <r>
    <x v="14"/>
    <s v="欖仁媽媽全球新聞臺【世界篇】小故事讀懂世界，成為守護SDGs的地球小公民"/>
    <m/>
    <d v="2026-01-14T00:00:00"/>
    <n v="222.72727272727272"/>
    <s v="讀共"/>
    <m/>
    <m/>
    <m/>
    <s v="110冊24500元"/>
    <n v="222.72727272727272"/>
    <s v=""/>
    <n v="1"/>
  </r>
  <r>
    <x v="15"/>
    <s v="吵架了怎麼和好"/>
    <s v="V"/>
    <d v="2025-04-16T00:00:00"/>
    <n v="270"/>
    <s v="其他"/>
    <n v="-221.07500000000002"/>
    <d v="2025-11-29T00:00:00"/>
    <m/>
    <m/>
    <n v="48.924999999999983"/>
    <n v="1"/>
    <n v="1"/>
  </r>
  <r>
    <x v="15"/>
    <s v="無敵姊弟科學大冒險(1)：樂器倉庫的祕密"/>
    <m/>
    <d v="2023-08-07T00:00:00"/>
    <n v="250"/>
    <s v="博客來"/>
    <m/>
    <m/>
    <m/>
    <m/>
    <n v="250"/>
    <s v=""/>
    <n v="1"/>
  </r>
  <r>
    <x v="16"/>
    <s v="地獄小學1"/>
    <s v="V"/>
    <d v="2025-04-07T00:00:00"/>
    <n v="216"/>
    <s v="博客來"/>
    <n v="-184"/>
    <d v="2025-09-26T00:00:00"/>
    <m/>
    <m/>
    <n v="32"/>
    <n v="1"/>
    <n v="1"/>
  </r>
  <r>
    <x v="16"/>
    <s v="地獄小學2"/>
    <s v="V"/>
    <d v="2025-04-07T00:00:00"/>
    <n v="216"/>
    <s v="博客來"/>
    <n v="-184"/>
    <d v="2025-09-26T00:00:00"/>
    <m/>
    <m/>
    <n v="32"/>
    <n v="1"/>
    <n v="1"/>
  </r>
  <r>
    <x v="17"/>
    <s v="說給兒童的臺灣歷史書"/>
    <m/>
    <d v="2025-04-07T00:00:00"/>
    <n v="3500"/>
    <s v="博客來"/>
    <m/>
    <m/>
    <m/>
    <m/>
    <n v="3500"/>
    <s v=""/>
    <n v="1"/>
  </r>
  <r>
    <x v="18"/>
    <s v="一起開口說唐詩(上)"/>
    <m/>
    <d v="2024-10-27T00:00:00"/>
    <n v="280"/>
    <s v="博客來"/>
    <m/>
    <m/>
    <m/>
    <s v="折價券25"/>
    <n v="280"/>
    <s v=""/>
    <n v="1"/>
  </r>
  <r>
    <x v="18"/>
    <s v="一起開口說唐詩(下)"/>
    <m/>
    <d v="2024-10-27T00:00:00"/>
    <n v="280"/>
    <s v="博客來"/>
    <m/>
    <m/>
    <m/>
    <s v="折價券25"/>
    <n v="280"/>
    <s v=""/>
    <n v="1"/>
  </r>
  <r>
    <x v="19"/>
    <s v="屁屁丹迪1"/>
    <s v="V"/>
    <d v="2024-06-10T00:00:00"/>
    <n v="217"/>
    <s v="其他"/>
    <n v="-168"/>
    <d v="2025-04-04T00:00:00"/>
    <m/>
    <m/>
    <n v="49"/>
    <n v="1"/>
    <n v="1"/>
  </r>
  <r>
    <x v="19"/>
    <s v="屁屁丹迪2"/>
    <s v="V"/>
    <d v="2024-06-10T00:00:00"/>
    <n v="217"/>
    <s v="其他"/>
    <n v="-168"/>
    <d v="2025-04-04T00:00:00"/>
    <m/>
    <m/>
    <n v="49"/>
    <n v="1"/>
    <n v="1"/>
  </r>
  <r>
    <x v="19"/>
    <s v="屁屁丹迪3"/>
    <s v="V"/>
    <d v="2024-06-10T00:00:00"/>
    <n v="217"/>
    <s v="其他"/>
    <n v="-168"/>
    <d v="2025-04-04T00:00:00"/>
    <m/>
    <m/>
    <n v="49"/>
    <n v="1"/>
    <n v="1"/>
  </r>
  <r>
    <x v="19"/>
    <s v="屁屁丹迪4"/>
    <s v="V"/>
    <d v="2024-06-10T00:00:00"/>
    <n v="217"/>
    <s v="其他"/>
    <n v="-168"/>
    <d v="2025-04-04T00:00:00"/>
    <m/>
    <m/>
    <n v="49"/>
    <n v="1"/>
    <n v="1"/>
  </r>
  <r>
    <x v="19"/>
    <s v="屁屁丹迪5"/>
    <s v="V"/>
    <d v="2024-06-10T00:00:00"/>
    <n v="217"/>
    <s v="其他"/>
    <n v="-168"/>
    <d v="2025-04-04T00:00:00"/>
    <m/>
    <m/>
    <n v="49"/>
    <n v="1"/>
    <n v="1"/>
  </r>
  <r>
    <x v="19"/>
    <s v="屁屁丹迪6"/>
    <s v="V"/>
    <d v="2024-06-10T00:00:00"/>
    <n v="217"/>
    <s v="其他"/>
    <n v="-168"/>
    <d v="2025-04-04T00:00:00"/>
    <m/>
    <m/>
    <n v="49"/>
    <n v="1"/>
    <n v="1"/>
  </r>
  <r>
    <x v="19"/>
    <s v="屁屁丹迪7"/>
    <s v="V"/>
    <d v="2024-06-10T00:00:00"/>
    <n v="217"/>
    <s v="其他"/>
    <n v="-168"/>
    <d v="2025-04-04T00:00:00"/>
    <m/>
    <m/>
    <n v="49"/>
    <n v="1"/>
    <n v="1"/>
  </r>
  <r>
    <x v="20"/>
    <s v="漫畫版名人傳 奠定AI基礎的天才數學家—艾倫.圖靈"/>
    <m/>
    <d v="2025-11-06T00:00:00"/>
    <n v="189"/>
    <s v="MOMO"/>
    <m/>
    <m/>
    <m/>
    <m/>
    <n v="189"/>
    <s v=""/>
    <n v="1"/>
  </r>
  <r>
    <x v="20"/>
    <s v="漫畫版名人傳 諾貝爾—寄託和平與未來於獎項"/>
    <m/>
    <d v="2025-11-06T00:00:00"/>
    <n v="189"/>
    <s v="MOMO"/>
    <m/>
    <m/>
    <m/>
    <m/>
    <n v="189"/>
    <s v=""/>
    <n v="1"/>
  </r>
  <r>
    <x v="20"/>
    <s v="奇怪的無人商店1：奇怪的無人冰店"/>
    <m/>
    <d v="2025-12-03T00:00:00"/>
    <n v="198"/>
    <s v="MOMO"/>
    <m/>
    <m/>
    <m/>
    <m/>
    <n v="198"/>
    <s v=""/>
    <n v="1"/>
  </r>
  <r>
    <x v="21"/>
    <s v="三隻小鼴鼠：夏日森林套書&lt;螢光山林&gt;"/>
    <m/>
    <d v="2025-11-10T00:00:00"/>
    <n v="194.66666666666666"/>
    <s v="MOMO"/>
    <m/>
    <m/>
    <m/>
    <m/>
    <n v="194.66666666666666"/>
    <s v=""/>
    <n v="1"/>
  </r>
  <r>
    <x v="21"/>
    <s v="三隻小鼴鼠：夏日森林套書&lt;蟬鳴聲林&gt;"/>
    <m/>
    <d v="2025-11-10T00:00:00"/>
    <n v="194.66666666666666"/>
    <s v="MOMO"/>
    <m/>
    <m/>
    <m/>
    <m/>
    <n v="194.66666666666666"/>
    <s v=""/>
    <n v="1"/>
  </r>
  <r>
    <x v="21"/>
    <s v="三隻小鼴鼠：夏日森林套書&lt;真菌森林&gt;"/>
    <m/>
    <d v="2025-11-10T00:00:00"/>
    <n v="194.66666666666666"/>
    <s v="MOMO"/>
    <m/>
    <m/>
    <m/>
    <m/>
    <n v="194.66666666666666"/>
    <s v=""/>
    <n v="1"/>
  </r>
  <r>
    <x v="22"/>
    <s v="西遊記1"/>
    <s v="V"/>
    <d v="2024-03-16T00:00:00"/>
    <n v="65"/>
    <s v="南門"/>
    <n v="-72.3"/>
    <d v="2025-12-18T00:00:00"/>
    <m/>
    <m/>
    <n v="-7.2999999999999972"/>
    <n v="1"/>
    <n v="1"/>
  </r>
  <r>
    <x v="22"/>
    <s v="西遊記2"/>
    <s v="V"/>
    <d v="2024-03-16T00:00:00"/>
    <n v="65"/>
    <s v="南門"/>
    <n v="-72.3"/>
    <d v="2025-12-18T00:00:00"/>
    <m/>
    <m/>
    <n v="-7.2999999999999972"/>
    <n v="1"/>
    <n v="1"/>
  </r>
  <r>
    <x v="22"/>
    <s v="西遊記3-10"/>
    <s v="X"/>
    <d v="2024-03-16T00:00:00"/>
    <n v="520"/>
    <s v="南門"/>
    <n v="-578.4"/>
    <d v="2025-12-18T00:00:00"/>
    <m/>
    <m/>
    <n v="-58.399999999999977"/>
    <n v="0"/>
    <n v="8"/>
  </r>
  <r>
    <x v="22"/>
    <s v="三國演義10本"/>
    <s v="X"/>
    <d v="2024-03-16T00:00:00"/>
    <n v="650"/>
    <s v="南門"/>
    <n v="-739"/>
    <d v="2025-12-10T00:00:00"/>
    <m/>
    <m/>
    <n v="-89"/>
    <n v="0"/>
    <n v="10"/>
  </r>
  <r>
    <x v="22"/>
    <s v="中國孩子故事100本"/>
    <s v="V"/>
    <d v="2023-12-27T00:00:00"/>
    <n v="3240"/>
    <s v="南門"/>
    <n v="-2423"/>
    <d v="2024-04-21T00:00:00"/>
    <m/>
    <m/>
    <n v="817"/>
    <n v="100"/>
    <n v="100"/>
  </r>
  <r>
    <x v="22"/>
    <s v="小牛頓-地球上的水1"/>
    <s v="V"/>
    <d v="2023-11-03T00:00:00"/>
    <n v="83.055555555555557"/>
    <s v="南門"/>
    <m/>
    <m/>
    <d v="2025-11-09T00:00:00"/>
    <m/>
    <n v="83.055555555555557"/>
    <n v="1"/>
    <n v="1"/>
  </r>
  <r>
    <x v="22"/>
    <s v="小牛頓-深海潛將—抹香鯨2"/>
    <s v="V"/>
    <d v="2023-11-03T00:00:00"/>
    <n v="83.055555555555557"/>
    <s v="南門"/>
    <m/>
    <m/>
    <d v="2025-11-11T00:00:00"/>
    <m/>
    <n v="83.055555555555557"/>
    <n v="1"/>
    <n v="1"/>
  </r>
  <r>
    <x v="22"/>
    <s v="小牛頓-最勤勞的小昆蟲—螞蟻3"/>
    <s v="V"/>
    <d v="2023-11-03T00:00:00"/>
    <n v="83.055555555555557"/>
    <s v="南門"/>
    <m/>
    <m/>
    <d v="2025-11-13T00:00:00"/>
    <m/>
    <n v="83.055555555555557"/>
    <n v="1"/>
    <n v="1"/>
  </r>
  <r>
    <x v="22"/>
    <s v="小牛頓-戰力高強的螳螂4"/>
    <s v="V"/>
    <d v="2023-11-03T00:00:00"/>
    <n v="83.055555555555557"/>
    <s v="南門"/>
    <m/>
    <m/>
    <d v="2026-03-19T00:00:00"/>
    <m/>
    <n v="83.055555555555557"/>
    <n v="1"/>
    <n v="1"/>
  </r>
  <r>
    <x v="22"/>
    <s v="小牛頓32本"/>
    <m/>
    <d v="2023-11-03T00:00:00"/>
    <n v="2657.7777777777778"/>
    <s v="南門"/>
    <m/>
    <m/>
    <m/>
    <m/>
    <n v="2657.7777777777778"/>
    <s v=""/>
    <n v="32"/>
  </r>
  <r>
    <x v="22"/>
    <s v="孩子的第一套地理、歷史"/>
    <m/>
    <d v="2023-10-16T00:00:00"/>
    <n v="1210"/>
    <s v="南門"/>
    <m/>
    <m/>
    <m/>
    <m/>
    <n v="1210"/>
    <s v=""/>
    <n v="20"/>
  </r>
  <r>
    <x v="22"/>
    <s v="漫畫科學超有趣8本"/>
    <s v="X"/>
    <d v="2023-10-16T00:00:00"/>
    <n v="890"/>
    <s v="南門"/>
    <n v="-809"/>
    <d v="2026-03-30T00:00:00"/>
    <m/>
    <m/>
    <n v="81"/>
    <n v="0"/>
    <n v="8"/>
  </r>
  <r>
    <x v="22"/>
    <s v="閱讀啟蒙橋樑書15本"/>
    <s v="V"/>
    <d v="2023-09-13T00:00:00"/>
    <n v="799"/>
    <s v="南門"/>
    <n v="-573"/>
    <m/>
    <m/>
    <m/>
    <n v="226"/>
    <n v="15"/>
    <n v="15"/>
  </r>
  <r>
    <x v="23"/>
    <s v="神話最強王圖鑑"/>
    <m/>
    <d v="2025-12-03T00:00:00"/>
    <n v="185"/>
    <s v="MOMO"/>
    <m/>
    <m/>
    <m/>
    <m/>
    <n v="185"/>
    <s v=""/>
    <n v="1"/>
  </r>
  <r>
    <x v="23"/>
    <s v="恐龍戰隊最強王圖鑑"/>
    <s v="V"/>
    <d v="2026-03-07T00:00:00"/>
    <n v="185"/>
    <s v="MOMO"/>
    <m/>
    <m/>
    <d v="2026-03-07T00:00:00"/>
    <m/>
    <n v="185"/>
    <n v="1"/>
    <n v="1"/>
  </r>
  <r>
    <x v="24"/>
    <s v="我的弟弟叫哪吒1 三千年之約"/>
    <m/>
    <d v="2025-12-23T00:00:00"/>
    <n v="231"/>
    <s v="團書"/>
    <m/>
    <m/>
    <m/>
    <s v="5本66折再送1本"/>
    <n v="231"/>
    <m/>
    <n v="1"/>
  </r>
  <r>
    <x v="24"/>
    <s v="歡迎光臨惡夢雜貨店：可怕的癢癢粉"/>
    <s v="V"/>
    <d v="2025-12-23T00:00:00"/>
    <n v="231"/>
    <s v="團書"/>
    <m/>
    <m/>
    <d v="2025-12-27T00:00:00"/>
    <s v="5本66折再送1本"/>
    <n v="231"/>
    <n v="1"/>
    <n v="1"/>
  </r>
  <r>
    <x v="24"/>
    <s v="歡迎光臨惡夢雜貨店：冰天雪地大毛怪"/>
    <s v="V"/>
    <d v="2025-12-23T00:00:00"/>
    <n v="231"/>
    <s v="團書"/>
    <m/>
    <m/>
    <d v="2025-12-28T00:00:00"/>
    <s v="5本66折再送1本"/>
    <n v="231"/>
    <n v="1"/>
    <n v="1"/>
  </r>
  <r>
    <x v="24"/>
    <s v="台灣民俗故事1：十二生肖大車拼"/>
    <m/>
    <d v="2025-12-23T00:00:00"/>
    <n v="165"/>
    <s v="團書"/>
    <m/>
    <m/>
    <m/>
    <s v="5本66折再送1本"/>
    <n v="165"/>
    <s v=""/>
    <n v="1"/>
  </r>
  <r>
    <x v="24"/>
    <s v="氣象象的氣象調查筆記"/>
    <m/>
    <d v="2025-12-23T00:00:00"/>
    <n v="277"/>
    <s v="團書"/>
    <m/>
    <m/>
    <m/>
    <s v="5本66折再送1本"/>
    <n v="277"/>
    <s v=""/>
    <n v="1"/>
  </r>
  <r>
    <x v="24"/>
    <s v="為什麼只有地球能住人？因為土壤、空氣、火和水"/>
    <m/>
    <d v="2025-12-23T00:00:00"/>
    <n v="0"/>
    <s v="團書"/>
    <m/>
    <m/>
    <m/>
    <s v="5本66折再送1本"/>
    <n v="0"/>
    <s v=""/>
    <n v="1"/>
  </r>
  <r>
    <x v="24"/>
    <s v="悠哉悠哉危險生物圖鑑"/>
    <s v="V"/>
    <d v="2025-12-23T00:00:00"/>
    <n v="185"/>
    <s v="團書"/>
    <m/>
    <m/>
    <d v="2026-01-02T00:00:00"/>
    <s v="5本66折再送1本"/>
    <n v="185"/>
    <n v="1"/>
    <n v="1"/>
  </r>
  <r>
    <x v="24"/>
    <s v="悠哉悠哉深海生物圖鑑"/>
    <s v="V"/>
    <d v="2025-12-23T00:00:00"/>
    <n v="185"/>
    <s v="團書"/>
    <m/>
    <m/>
    <d v="2026-01-10T00:00:00"/>
    <s v="5本66折再送1本"/>
    <n v="185"/>
    <n v="1"/>
    <n v="1"/>
  </r>
  <r>
    <x v="24"/>
    <s v="一天一則，發現366個人體有趣知識"/>
    <m/>
    <d v="2025-12-23T00:00:00"/>
    <n v="350"/>
    <s v="團書"/>
    <m/>
    <m/>
    <m/>
    <s v="5本66折再送1本"/>
    <n v="350"/>
    <s v=""/>
    <n v="1"/>
  </r>
  <r>
    <x v="24"/>
    <s v="漫畫圖解—地球環境與SDGs3防止地球暖化！"/>
    <m/>
    <d v="2025-12-23T00:00:00"/>
    <n v="264"/>
    <s v="團書"/>
    <m/>
    <m/>
    <m/>
    <s v="5本66折再送1本"/>
    <n v="264"/>
    <s v=""/>
    <n v="1"/>
  </r>
  <r>
    <x v="24"/>
    <s v="小朋友的衛生學：生活環境×預防疾病×食品安全"/>
    <m/>
    <d v="2025-12-23T00:00:00"/>
    <n v="251"/>
    <s v="團書"/>
    <m/>
    <m/>
    <m/>
    <s v="5本66折再送1本"/>
    <n v="251"/>
    <s v=""/>
    <n v="1"/>
  </r>
  <r>
    <x v="24"/>
    <s v="世界趣聞真奇妙"/>
    <m/>
    <d v="2025-12-23T00:00:00"/>
    <n v="0"/>
    <s v="團書"/>
    <m/>
    <m/>
    <m/>
    <s v="5本66折再送1本"/>
    <n v="0"/>
    <s v=""/>
    <n v="1"/>
  </r>
  <r>
    <x v="25"/>
    <s v="數學除妖咒術師 妖怪馬戲團 多變的幾何圖形"/>
    <m/>
    <d v="2026-01-06T00:00:00"/>
    <n v="114"/>
    <s v="酷澎"/>
    <m/>
    <m/>
    <m/>
    <m/>
    <n v="114"/>
    <s v=""/>
    <n v="1"/>
  </r>
  <r>
    <x v="25"/>
    <s v="數學除妖咒術師：友情的考驗 圖解分數、比和比率"/>
    <m/>
    <d v="2026-01-06T00:00:00"/>
    <n v="114"/>
    <s v="酷澎"/>
    <m/>
    <m/>
    <m/>
    <m/>
    <n v="114"/>
    <s v=""/>
    <n v="1"/>
  </r>
  <r>
    <x v="25"/>
    <s v=" 數學除妖咒術師：解開封印 速解四則運算"/>
    <m/>
    <d v="2026-01-06T00:00:00"/>
    <n v="119"/>
    <s v="酷澎"/>
    <m/>
    <m/>
    <m/>
    <m/>
    <n v="119"/>
    <s v=""/>
    <n v="1"/>
  </r>
  <r>
    <x v="26"/>
    <s v="孩子愛上自然課了-神奇的頭腦"/>
    <s v="V"/>
    <d v="2026-02-08T00:00:00"/>
    <n v="98"/>
    <s v="FB"/>
    <m/>
    <m/>
    <d v="2026-04-05T00:00:00"/>
    <m/>
    <n v="98"/>
    <n v="1"/>
    <n v="1"/>
  </r>
  <r>
    <x v="26"/>
    <s v="孩子愛上自然課了-生命的誕生"/>
    <s v="V"/>
    <d v="2026-02-08T00:00:00"/>
    <n v="98"/>
    <s v="FB"/>
    <m/>
    <m/>
    <d v="2026-04-05T00:00:00"/>
    <m/>
    <n v="98"/>
    <n v="1"/>
    <n v="1"/>
  </r>
  <r>
    <x v="26"/>
    <s v="孩子愛上自然課了-身體裡的器官"/>
    <s v="V"/>
    <d v="2026-02-08T00:00:00"/>
    <n v="98"/>
    <s v="FB"/>
    <m/>
    <m/>
    <d v="2026-03-30T00:00:00"/>
    <m/>
    <n v="98"/>
    <n v="1"/>
    <n v="1"/>
  </r>
  <r>
    <x v="26"/>
    <s v="孩子愛上自然課了-五官的故事"/>
    <s v="V"/>
    <d v="2026-02-08T00:00:00"/>
    <n v="98"/>
    <s v="FB"/>
    <m/>
    <m/>
    <d v="2026-03-29T00:00:00"/>
    <m/>
    <n v="98"/>
    <n v="1"/>
    <n v="1"/>
  </r>
  <r>
    <x v="26"/>
    <s v="孩子愛上自然課了-血液的本事"/>
    <s v="V"/>
    <d v="2026-02-08T00:00:00"/>
    <n v="98"/>
    <s v="FB"/>
    <m/>
    <m/>
    <d v="2026-03-28T00:00:00"/>
    <m/>
    <n v="98"/>
    <n v="1"/>
    <n v="1"/>
  </r>
  <r>
    <x v="27"/>
    <s v="Flip-Thinking！來自荷蘭的翻轉思考法"/>
    <m/>
    <d v="2026-03-10T00:00:00"/>
    <n v="99"/>
    <s v="團書"/>
    <m/>
    <m/>
    <m/>
    <m/>
    <n v="99"/>
    <s v=""/>
    <n v="1"/>
  </r>
  <r>
    <x v="27"/>
    <s v="細菌偵查隊"/>
    <m/>
    <d v="2026-03-10T00:00:00"/>
    <n v="221"/>
    <s v="團書"/>
    <m/>
    <m/>
    <m/>
    <s v="折150元"/>
    <n v="221"/>
    <s v=""/>
    <n v="1"/>
  </r>
  <r>
    <x v="27"/>
    <s v="漫畫量子力學2-原子世界大探索"/>
    <m/>
    <d v="2026-03-10T00:00:00"/>
    <n v="274"/>
    <s v="團書"/>
    <m/>
    <m/>
    <m/>
    <s v="折150元"/>
    <n v="274"/>
    <s v=""/>
    <n v="1"/>
  </r>
  <r>
    <x v="27"/>
    <s v="漫畫量子力學2-光的秘密大公開"/>
    <m/>
    <d v="2026-03-10T00:00:00"/>
    <n v="274"/>
    <s v="團書"/>
    <m/>
    <m/>
    <m/>
    <s v="折150元"/>
    <n v="274"/>
    <s v=""/>
    <n v="1"/>
  </r>
  <r>
    <x v="27"/>
    <s v="我會自己做計畫"/>
    <m/>
    <d v="2026-03-10T00:00:00"/>
    <n v="181"/>
    <s v="團書"/>
    <m/>
    <m/>
    <m/>
    <s v="折150元"/>
    <n v="181"/>
    <s v=""/>
    <n v="1"/>
  </r>
  <r>
    <x v="27"/>
    <s v="長大後的你想成為什麼樣的人？"/>
    <m/>
    <d v="2026-03-10T00:00:00"/>
    <n v="247"/>
    <s v="團書"/>
    <m/>
    <m/>
    <m/>
    <s v="折150元"/>
    <n v="247"/>
    <s v=""/>
    <n v="1"/>
  </r>
  <r>
    <x v="27"/>
    <s v="奇蹟機器狗"/>
    <m/>
    <d v="2026-03-10T00:00:00"/>
    <n v="0"/>
    <s v="團書"/>
    <m/>
    <m/>
    <m/>
    <m/>
    <n v="0"/>
    <s v=""/>
    <n v="1"/>
  </r>
  <r>
    <x v="27"/>
    <s v="書怎麼做出來的"/>
    <m/>
    <d v="2026-03-10T00:00:00"/>
    <n v="0"/>
    <s v="團書"/>
    <m/>
    <m/>
    <m/>
    <m/>
    <n v="0"/>
    <s v=""/>
    <n v="1"/>
  </r>
  <r>
    <x v="27"/>
    <s v="強尼的神奇種子"/>
    <m/>
    <d v="2026-03-10T00:00:00"/>
    <n v="0"/>
    <s v="團書"/>
    <m/>
    <m/>
    <m/>
    <m/>
    <n v="0"/>
    <s v=""/>
    <n v="1"/>
  </r>
  <r>
    <x v="28"/>
    <s v="砲臺歷險記"/>
    <s v="V"/>
    <d v="2025-10-20T00:00:00"/>
    <n v="143"/>
    <s v="團書"/>
    <m/>
    <m/>
    <d v="2026-04-06T00:00:00"/>
    <m/>
    <n v="143"/>
    <n v="1"/>
    <n v="1"/>
  </r>
  <r>
    <x v="29"/>
    <s v="為什麼要睡覺？──關於睡眠的20個奧妙知識！"/>
    <m/>
    <d v="2026-04-14T00:00:00"/>
    <n v="222.72727272727272"/>
    <s v="讀共"/>
    <m/>
    <m/>
    <m/>
    <m/>
    <n v="222.72727272727272"/>
    <s v=""/>
    <n v="1"/>
  </r>
  <r>
    <x v="30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">
  <r>
    <s v="親子天下"/>
    <s v="學校沒教的心理課：自我成長篇—穩定情緒、突破盲點，華麗變身人氣王"/>
    <x v="0"/>
    <d v="2025-11-04T00:00:00"/>
    <n v="200"/>
    <s v="親子天下"/>
    <m/>
    <m/>
    <m/>
    <m/>
    <n v="200"/>
    <s v=""/>
    <n v="1"/>
  </r>
  <r>
    <s v="親子天下"/>
    <s v="穿越驚奇圖書館1：被封印的格林兄弟"/>
    <x v="0"/>
    <d v="2025-11-04T00:00:00"/>
    <n v="174"/>
    <s v="親子天下"/>
    <m/>
    <m/>
    <m/>
    <m/>
    <n v="174"/>
    <s v=""/>
    <n v="1"/>
  </r>
  <r>
    <s v="親子天下"/>
    <s v="奇想聊齋1"/>
    <x v="0"/>
    <d v="2025-10-22T00:00:00"/>
    <n v="160"/>
    <s v="親子天下"/>
    <m/>
    <m/>
    <m/>
    <s v="有使用點數及優惠券300"/>
    <n v="160"/>
    <s v=""/>
    <n v="1"/>
  </r>
  <r>
    <s v="親子天下"/>
    <s v="奇想聊齋2"/>
    <x v="0"/>
    <d v="2025-10-22T00:00:00"/>
    <n v="160"/>
    <s v="親子天下"/>
    <m/>
    <m/>
    <m/>
    <s v="有使用點數及優惠券300"/>
    <n v="160"/>
    <s v=""/>
    <n v="1"/>
  </r>
  <r>
    <s v="親子天下"/>
    <s v="奇想聊齋3"/>
    <x v="0"/>
    <d v="2025-10-22T00:00:00"/>
    <n v="160"/>
    <s v="親子天下"/>
    <m/>
    <m/>
    <m/>
    <s v="有使用點數及優惠券300"/>
    <n v="160"/>
    <s v=""/>
    <n v="1"/>
  </r>
  <r>
    <s v="親子天下"/>
    <s v="奇想三國1：九命喜鵲救曹操"/>
    <x v="0"/>
    <d v="2025-10-22T00:00:00"/>
    <n v="149"/>
    <s v="親子天下"/>
    <m/>
    <m/>
    <m/>
    <s v="有使用點數及優惠券300"/>
    <n v="149"/>
    <s v=""/>
    <n v="1"/>
  </r>
  <r>
    <s v="親子天下"/>
    <s v="身體怎麼了"/>
    <x v="1"/>
    <d v="2025-10-22T00:00:00"/>
    <n v="221.5"/>
    <s v="親子天下"/>
    <n v="-249.5"/>
    <d v="2026-02-02T00:00:00"/>
    <d v="2025-11-12T00:00:00"/>
    <s v="有使用點數及優惠券300"/>
    <n v="-28"/>
    <n v="1"/>
    <n v="1"/>
  </r>
  <r>
    <s v="親子天下"/>
    <s v="生病怎麼辦"/>
    <x v="1"/>
    <d v="2025-10-22T00:00:00"/>
    <n v="221.5"/>
    <s v="親子天下"/>
    <n v="-249.5"/>
    <d v="2026-02-02T00:00:00"/>
    <d v="2025-11-11T00:00:00"/>
    <s v="有使用點數及優惠券300"/>
    <n v="-28"/>
    <n v="1"/>
    <n v="1"/>
  </r>
  <r>
    <s v="親子天下"/>
    <s v="伊豬豬和魯豬豬異想天開腦治大開古怪故事集：勇敢的勇太"/>
    <x v="1"/>
    <d v="2025-10-21T00:00:00"/>
    <n v="164"/>
    <s v="親子天下"/>
    <n v="-269"/>
    <d v="2026-03-15T00:00:00"/>
    <d v="2025-10-24T00:00:00"/>
    <s v="有使用3.1萬點及優惠券300"/>
    <n v="-105"/>
    <n v="1"/>
    <n v="1"/>
  </r>
  <r>
    <s v="親子天下"/>
    <s v="最想吃的漫畫世界史：好味甜點時光機"/>
    <x v="0"/>
    <d v="2025-10-21T00:00:00"/>
    <n v="187"/>
    <s v="親子天下"/>
    <m/>
    <m/>
    <m/>
    <s v="有使用3.1萬點及優惠券300"/>
    <n v="187"/>
    <s v=""/>
    <n v="1"/>
  </r>
  <r>
    <s v="親子天下"/>
    <s v="最想吃的漫畫世界史：好味食品實驗室"/>
    <x v="0"/>
    <d v="2025-10-21T00:00:00"/>
    <n v="187"/>
    <s v="親子天下"/>
    <m/>
    <m/>
    <m/>
    <s v="有使用3.1萬點及優惠券300"/>
    <n v="187"/>
    <s v=""/>
    <n v="1"/>
  </r>
  <r>
    <s v="親子天下"/>
    <s v="汪汪狗圖解生活數學套書-為什麼電梯沒有0樓？"/>
    <x v="1"/>
    <d v="2025-10-21T00:00:00"/>
    <n v="131"/>
    <s v="親子天下"/>
    <m/>
    <m/>
    <d v="2025-12-20T00:00:00"/>
    <s v="有使用3.1萬點及優惠券300"/>
    <n v="131"/>
    <n v="1"/>
    <n v="1"/>
  </r>
  <r>
    <s v="親子天下"/>
    <s v="汪汪狗圖解生活數學套書-一眨眼的時間是幾秒？"/>
    <x v="1"/>
    <d v="2025-10-21T00:00:00"/>
    <n v="131"/>
    <s v="親子天下"/>
    <m/>
    <m/>
    <d v="2025-12-20T00:00:00"/>
    <s v="有使用3.1萬點及優惠券300"/>
    <n v="131"/>
    <n v="1"/>
    <n v="1"/>
  </r>
  <r>
    <s v="親子天下"/>
    <s v="最有梗的人體教室：針筒兄弟與他們的器官小夥伴"/>
    <x v="0"/>
    <d v="2025-10-01T00:00:00"/>
    <n v="215"/>
    <s v="親子天下"/>
    <m/>
    <m/>
    <m/>
    <s v="使用6700點及優惠券100元"/>
    <n v="215"/>
    <s v=""/>
    <n v="1"/>
  </r>
  <r>
    <s v="親子天下"/>
    <s v="達克比辦案1"/>
    <x v="0"/>
    <d v="2025-06-09T00:00:00"/>
    <n v="169.2"/>
    <s v="親子天下"/>
    <m/>
    <m/>
    <m/>
    <m/>
    <n v="169.2"/>
    <s v=""/>
    <n v="1"/>
  </r>
  <r>
    <s v="親子天下"/>
    <s v="達克比辦案2"/>
    <x v="0"/>
    <d v="2025-06-09T00:00:00"/>
    <n v="169.2"/>
    <s v="親子天下"/>
    <m/>
    <m/>
    <m/>
    <m/>
    <n v="169.2"/>
    <s v=""/>
    <n v="1"/>
  </r>
  <r>
    <s v="親子天下"/>
    <s v="達克比辦案3"/>
    <x v="0"/>
    <d v="2025-06-09T00:00:00"/>
    <n v="169.2"/>
    <s v="親子天下"/>
    <m/>
    <m/>
    <m/>
    <m/>
    <n v="169.2"/>
    <s v=""/>
    <n v="1"/>
  </r>
  <r>
    <s v="親子天下"/>
    <s v="達克比辦案4"/>
    <x v="0"/>
    <d v="2025-06-09T00:00:00"/>
    <n v="169.2"/>
    <s v="親子天下"/>
    <m/>
    <m/>
    <m/>
    <m/>
    <n v="169.2"/>
    <s v=""/>
    <n v="1"/>
  </r>
  <r>
    <s v="親子天下"/>
    <s v="達克比辦案5"/>
    <x v="0"/>
    <d v="2025-06-09T00:00:00"/>
    <n v="169.2"/>
    <s v="親子天下"/>
    <m/>
    <m/>
    <m/>
    <m/>
    <n v="169.2"/>
    <s v=""/>
    <n v="1"/>
  </r>
  <r>
    <s v="親子天下"/>
    <s v="科學不思議1：點亮營火蟲之光"/>
    <x v="0"/>
    <d v="2025-04-08T00:00:00"/>
    <n v="183"/>
    <s v="親子天下"/>
    <m/>
    <m/>
    <m/>
    <m/>
    <n v="183"/>
    <s v=""/>
    <n v="1"/>
  </r>
  <r>
    <s v="親子天下"/>
    <s v="科學不思議2：生理時鐘滴答滴"/>
    <x v="0"/>
    <d v="2025-04-08T00:00:00"/>
    <n v="183"/>
    <s v="親子天下"/>
    <m/>
    <m/>
    <m/>
    <m/>
    <n v="183"/>
    <s v=""/>
    <n v="1"/>
  </r>
  <r>
    <s v="親子天下"/>
    <s v="科學不思議3：神奇植物吹泡泡"/>
    <x v="0"/>
    <d v="2025-04-08T00:00:00"/>
    <n v="184"/>
    <s v="親子天下"/>
    <m/>
    <m/>
    <m/>
    <m/>
    <n v="184"/>
    <s v=""/>
    <n v="1"/>
  </r>
  <r>
    <s v="親子天下"/>
    <s v="科學不思議4：好想去月球"/>
    <x v="0"/>
    <d v="2025-04-08T00:00:00"/>
    <n v="185"/>
    <s v="親子天下"/>
    <m/>
    <m/>
    <m/>
    <m/>
    <n v="185"/>
    <s v=""/>
    <n v="1"/>
  </r>
  <r>
    <s v="親子天下"/>
    <s v="科學不思議5：尾巴大調查"/>
    <x v="0"/>
    <d v="2025-04-08T00:00:00"/>
    <n v="185"/>
    <s v="親子天下"/>
    <m/>
    <m/>
    <m/>
    <m/>
    <n v="185"/>
    <s v=""/>
    <n v="1"/>
  </r>
  <r>
    <s v="親子天下"/>
    <s v="科學不思議6：昆蟲量體重"/>
    <x v="0"/>
    <d v="2025-04-08T00:00:00"/>
    <n v="185"/>
    <s v="親子天下"/>
    <m/>
    <m/>
    <m/>
    <m/>
    <n v="185"/>
    <s v=""/>
    <n v="1"/>
  </r>
  <r>
    <s v="親子天下"/>
    <s v="我愛奇怪阿公"/>
    <x v="1"/>
    <d v="2025-04-08T00:00:00"/>
    <n v="211"/>
    <s v="親子天下"/>
    <n v="-209.5"/>
    <d v="2025-11-12T00:00:00"/>
    <m/>
    <m/>
    <n v="1.5"/>
    <n v="1"/>
    <n v="1"/>
  </r>
  <r>
    <s v="親子天下"/>
    <s v="我愛奇怪阿嬤"/>
    <x v="1"/>
    <d v="2025-04-08T00:00:00"/>
    <n v="211"/>
    <s v="親子天下"/>
    <n v="-209.5"/>
    <d v="2025-11-12T00:00:00"/>
    <m/>
    <m/>
    <n v="1.5"/>
    <n v="1"/>
    <n v="1"/>
  </r>
  <r>
    <s v="親子天下"/>
    <s v="學思達小學堂2：都是我的"/>
    <x v="1"/>
    <d v="2025-04-08T00:00:00"/>
    <n v="174"/>
    <s v="親子天下"/>
    <m/>
    <m/>
    <d v="2025-10-12T00:00:00"/>
    <m/>
    <n v="174"/>
    <n v="1"/>
    <n v="1"/>
  </r>
  <r>
    <s v="親子天下"/>
    <s v="快閃貓生活謎語童話1：神祕山有鬼？"/>
    <x v="1"/>
    <d v="2025-04-08T00:00:00"/>
    <n v="158"/>
    <s v="親子天下"/>
    <n v="-165.33333333333334"/>
    <d v="2025-09-22T00:00:00"/>
    <m/>
    <m/>
    <n v="-7.3333333333333428"/>
    <n v="1"/>
    <n v="1"/>
  </r>
  <r>
    <s v="親子天下"/>
    <s v="快閃貓生活謎語童話2：滾滾豬大富翁"/>
    <x v="1"/>
    <d v="2025-04-08T00:00:00"/>
    <n v="158"/>
    <s v="親子天下"/>
    <n v="-165.33333333333334"/>
    <d v="2025-09-22T00:00:00"/>
    <m/>
    <m/>
    <n v="-7.3333333333333428"/>
    <n v="1"/>
    <n v="1"/>
  </r>
  <r>
    <s v="親子天下"/>
    <s v="快閃貓生活謎語童話3：超級難唸的安眠咒"/>
    <x v="1"/>
    <d v="2025-04-08T00:00:00"/>
    <n v="170"/>
    <s v="親子天下"/>
    <n v="-165.33333333333334"/>
    <d v="2025-09-22T00:00:00"/>
    <m/>
    <m/>
    <n v="4.6666666666666572"/>
    <n v="1"/>
    <n v="1"/>
  </r>
  <r>
    <s v="親子天下"/>
    <s v="奇想三十六計套書1"/>
    <x v="0"/>
    <d v="2025-04-08T00:00:00"/>
    <n v="176.66666666666666"/>
    <s v="親子天下"/>
    <m/>
    <m/>
    <m/>
    <m/>
    <n v="176.66666666666666"/>
    <s v=""/>
    <n v="1"/>
  </r>
  <r>
    <s v="親子天下"/>
    <s v="奇想三十六計套書2"/>
    <x v="0"/>
    <d v="2025-04-08T00:00:00"/>
    <n v="176.66666666666666"/>
    <s v="親子天下"/>
    <m/>
    <m/>
    <m/>
    <m/>
    <n v="176.66666666666666"/>
    <s v=""/>
    <n v="1"/>
  </r>
  <r>
    <s v="親子天下"/>
    <s v="奇想三十六計套書3"/>
    <x v="0"/>
    <d v="2025-04-08T00:00:00"/>
    <n v="176.66666666666666"/>
    <s v="親子天下"/>
    <m/>
    <m/>
    <m/>
    <m/>
    <n v="176.66666666666666"/>
    <s v=""/>
    <n v="1"/>
  </r>
  <r>
    <s v="親子天下"/>
    <s v="小熊兄妹的點子屋1：點子屋新開張"/>
    <x v="1"/>
    <d v="2025-04-08T00:00:00"/>
    <n v="151"/>
    <s v="親子天下"/>
    <n v="-151.33333333333334"/>
    <d v="2025-12-03T00:00:00"/>
    <d v="2025-11-08T00:00:00"/>
    <m/>
    <n v="-0.33333333333334281"/>
    <n v="1"/>
    <n v="1"/>
  </r>
  <r>
    <s v="親子天下"/>
    <s v="小熊兄妹的點子屋2：不能說的三句話"/>
    <x v="1"/>
    <d v="2025-04-08T00:00:00"/>
    <n v="151"/>
    <s v="親子天下"/>
    <n v="-151.33333333333334"/>
    <d v="2025-12-03T00:00:00"/>
    <d v="2025-11-09T00:00:00"/>
    <m/>
    <n v="-0.33333333333334281"/>
    <n v="1"/>
    <n v="1"/>
  </r>
  <r>
    <s v="親子天下"/>
    <s v="小熊兄妹的點子屋3：超愛睏魔咒大作戰"/>
    <x v="1"/>
    <d v="2025-04-08T00:00:00"/>
    <n v="151"/>
    <s v="親子天下"/>
    <n v="-151.33333333333334"/>
    <d v="2025-12-03T00:00:00"/>
    <d v="2025-11-10T00:00:00"/>
    <m/>
    <n v="-0.33333333333334281"/>
    <n v="1"/>
    <n v="1"/>
  </r>
  <r>
    <s v="親子天下"/>
    <s v="家守神1：暗藏神祕的百年之屋"/>
    <x v="0"/>
    <d v="2025-03-12T00:00:00"/>
    <n v="220"/>
    <s v="親子天下"/>
    <m/>
    <m/>
    <m/>
    <m/>
    <n v="220"/>
    <s v=""/>
    <n v="1"/>
  </r>
  <r>
    <s v="親子天下"/>
    <s v="狐狸一族心探險套書1"/>
    <x v="1"/>
    <d v="2025-03-12T00:00:00"/>
    <n v="176.33333333333334"/>
    <s v="親子天下"/>
    <n v="-178.33333333333334"/>
    <d v="2025-10-31T00:00:00"/>
    <m/>
    <m/>
    <n v="-2"/>
    <n v="1"/>
    <n v="1"/>
  </r>
  <r>
    <s v="親子天下"/>
    <s v="狐狸一族心探險套書2"/>
    <x v="1"/>
    <d v="2025-03-12T00:00:00"/>
    <n v="176.33333333333334"/>
    <s v="親子天下"/>
    <n v="-178.33333333333334"/>
    <d v="2025-10-31T00:00:00"/>
    <m/>
    <m/>
    <n v="-2"/>
    <n v="1"/>
    <n v="1"/>
  </r>
  <r>
    <s v="親子天下"/>
    <s v="狐狸一族心探險套書3"/>
    <x v="1"/>
    <d v="2025-03-12T00:00:00"/>
    <n v="176.33333333333334"/>
    <s v="親子天下"/>
    <n v="-178.33333333333334"/>
    <d v="2025-10-31T00:00:00"/>
    <m/>
    <m/>
    <n v="-2"/>
    <n v="1"/>
    <n v="1"/>
  </r>
  <r>
    <s v="親子天下"/>
    <s v="妙妙喵圖解生活科學1：消失的便便"/>
    <x v="1"/>
    <d v="2025-11-04T00:00:00"/>
    <n v="160"/>
    <s v="親子天下"/>
    <m/>
    <m/>
    <d v="2026-01-11T00:00:00"/>
    <m/>
    <n v="160"/>
    <n v="1"/>
    <n v="1"/>
  </r>
  <r>
    <s v="親子天下"/>
    <s v="妙妙喵圖解生活科學2：超能微波爐"/>
    <x v="1"/>
    <d v="2025-10-17T00:00:00"/>
    <n v="259"/>
    <s v="博客來"/>
    <m/>
    <m/>
    <d v="2025-10-12T00:00:00"/>
    <m/>
    <n v="259"/>
    <n v="1"/>
    <n v="1"/>
  </r>
  <r>
    <s v="親子天下"/>
    <s v="妙妙喵圖解生活科學3：神奇測謊機"/>
    <x v="1"/>
    <d v="2025-03-12T00:00:00"/>
    <n v="202"/>
    <s v="親子天下"/>
    <m/>
    <m/>
    <d v="2026-01-14T00:00:00"/>
    <m/>
    <n v="202"/>
    <n v="1"/>
    <n v="1"/>
  </r>
  <r>
    <s v="親子天下"/>
    <s v="妙妙喵圖解生活科學4：閃電避雷針"/>
    <x v="1"/>
    <d v="2025-11-04T00:00:00"/>
    <n v="177"/>
    <s v="親子天下"/>
    <m/>
    <m/>
    <d v="2025-11-30T00:00:00"/>
    <m/>
    <n v="177"/>
    <n v="1"/>
    <n v="1"/>
  </r>
  <r>
    <s v="親子天下"/>
    <s v="君偉的怪奇報告"/>
    <x v="0"/>
    <d v="2025-11-04T00:00:00"/>
    <n v="131"/>
    <s v="親子天下"/>
    <m/>
    <m/>
    <m/>
    <m/>
    <n v="131"/>
    <s v=""/>
    <n v="1"/>
  </r>
  <r>
    <s v="親子天下"/>
    <s v="君偉的節日報告"/>
    <x v="1"/>
    <d v="2025-02-09T00:00:00"/>
    <n v="176"/>
    <s v="親子天下"/>
    <m/>
    <m/>
    <d v="2025-11-17T00:00:00"/>
    <m/>
    <n v="176"/>
    <n v="1"/>
    <n v="1"/>
  </r>
  <r>
    <s v="親子天下"/>
    <s v="暴龍時光機"/>
    <x v="1"/>
    <d v="2025-02-09T00:00:00"/>
    <n v="164"/>
    <s v="親子天下"/>
    <m/>
    <m/>
    <m/>
    <m/>
    <n v="164"/>
    <n v="1"/>
    <n v="1"/>
  </r>
  <r>
    <s v="親子天下"/>
    <s v="小兒子1：爸爸是夜晚暴食龍"/>
    <x v="0"/>
    <d v="2025-02-09T00:00:00"/>
    <n v="177"/>
    <s v="親子天下"/>
    <m/>
    <m/>
    <m/>
    <m/>
    <n v="177"/>
    <s v=""/>
    <n v="1"/>
  </r>
  <r>
    <s v="親子天下"/>
    <s v="一個傻蛋賣香屁"/>
    <x v="1"/>
    <d v="2024-11-05T00:00:00"/>
    <n v="102"/>
    <s v="親子天下"/>
    <n v="-133"/>
    <d v="2025-10-16T00:00:00"/>
    <m/>
    <m/>
    <n v="-31"/>
    <n v="1"/>
    <n v="1"/>
  </r>
  <r>
    <s v="親子天下"/>
    <s v="怪傑左羅力1"/>
    <x v="1"/>
    <d v="2024-07-07T00:00:00"/>
    <n v="151.19999999999999"/>
    <s v="MOMO"/>
    <m/>
    <m/>
    <m/>
    <m/>
    <n v="151.19999999999999"/>
    <n v="1"/>
    <n v="1"/>
  </r>
  <r>
    <s v="親子天下"/>
    <s v="怪傑左羅力2"/>
    <x v="1"/>
    <d v="2024-07-07T00:00:00"/>
    <n v="151.19999999999999"/>
    <s v="MOMO"/>
    <m/>
    <m/>
    <m/>
    <m/>
    <n v="151.19999999999999"/>
    <n v="1"/>
    <n v="1"/>
  </r>
  <r>
    <s v="親子天下"/>
    <s v="怪傑左羅力3"/>
    <x v="1"/>
    <d v="2024-07-07T00:00:00"/>
    <n v="151.19999999999999"/>
    <s v="MOMO"/>
    <m/>
    <m/>
    <m/>
    <m/>
    <n v="151.19999999999999"/>
    <n v="1"/>
    <n v="1"/>
  </r>
  <r>
    <s v="親子天下"/>
    <s v="怪傑左羅力4"/>
    <x v="1"/>
    <d v="2024-07-07T00:00:00"/>
    <n v="151.19999999999999"/>
    <s v="MOMO"/>
    <m/>
    <m/>
    <m/>
    <m/>
    <n v="151.19999999999999"/>
    <n v="1"/>
    <n v="1"/>
  </r>
  <r>
    <s v="親子天下"/>
    <s v="怪傑左羅力5"/>
    <x v="1"/>
    <d v="2024-07-07T00:00:00"/>
    <n v="151.19999999999999"/>
    <s v="MOMO"/>
    <m/>
    <m/>
    <m/>
    <m/>
    <n v="151.19999999999999"/>
    <n v="1"/>
    <n v="1"/>
  </r>
  <r>
    <s v="親子天下"/>
    <s v="怪傑左羅力6"/>
    <x v="1"/>
    <d v="2024-07-07T00:00:00"/>
    <n v="151.19999999999999"/>
    <s v="MOMO"/>
    <m/>
    <m/>
    <m/>
    <m/>
    <n v="151.19999999999999"/>
    <n v="1"/>
    <n v="1"/>
  </r>
  <r>
    <s v="親子天下"/>
    <s v="怪傑左羅力7"/>
    <x v="1"/>
    <d v="2024-07-07T00:00:00"/>
    <n v="151.19999999999999"/>
    <s v="MOMO"/>
    <m/>
    <m/>
    <m/>
    <m/>
    <n v="151.19999999999999"/>
    <n v="1"/>
    <n v="1"/>
  </r>
  <r>
    <s v="親子天下"/>
    <s v="怪傑左羅力8"/>
    <x v="1"/>
    <d v="2024-07-07T00:00:00"/>
    <n v="151.19999999999999"/>
    <s v="MOMO"/>
    <m/>
    <m/>
    <m/>
    <m/>
    <n v="151.19999999999999"/>
    <n v="1"/>
    <n v="1"/>
  </r>
  <r>
    <s v="親子天下"/>
    <s v="怪傑左羅力9"/>
    <x v="1"/>
    <d v="2024-07-07T00:00:00"/>
    <n v="151.19999999999999"/>
    <s v="MOMO"/>
    <m/>
    <m/>
    <m/>
    <m/>
    <n v="151.19999999999999"/>
    <n v="1"/>
    <n v="1"/>
  </r>
  <r>
    <s v="親子天下"/>
    <s v="怪傑左羅力10"/>
    <x v="1"/>
    <d v="2024-07-07T00:00:00"/>
    <n v="151.19999999999999"/>
    <s v="MOMO"/>
    <m/>
    <m/>
    <m/>
    <m/>
    <n v="151.19999999999999"/>
    <n v="1"/>
    <n v="1"/>
  </r>
  <r>
    <s v="親子天下"/>
    <s v="怪傑左羅力11"/>
    <x v="1"/>
    <d v="2024-08-01T00:00:00"/>
    <n v="171.8"/>
    <s v="FB"/>
    <m/>
    <m/>
    <m/>
    <m/>
    <n v="171.8"/>
    <n v="1"/>
    <n v="1"/>
  </r>
  <r>
    <s v="親子天下"/>
    <s v="怪傑左羅力12"/>
    <x v="1"/>
    <d v="2024-08-01T00:00:00"/>
    <n v="171.8"/>
    <s v="FB"/>
    <m/>
    <m/>
    <m/>
    <m/>
    <n v="171.8"/>
    <n v="1"/>
    <n v="1"/>
  </r>
  <r>
    <s v="親子天下"/>
    <s v="怪傑左羅力13"/>
    <x v="1"/>
    <d v="2024-08-01T00:00:00"/>
    <n v="171.8"/>
    <s v="FB"/>
    <m/>
    <m/>
    <m/>
    <m/>
    <n v="171.8"/>
    <n v="1"/>
    <n v="1"/>
  </r>
  <r>
    <s v="親子天下"/>
    <s v="怪傑左羅力14"/>
    <x v="1"/>
    <d v="2024-08-01T00:00:00"/>
    <n v="171.8"/>
    <s v="FB"/>
    <m/>
    <m/>
    <m/>
    <m/>
    <n v="171.8"/>
    <n v="1"/>
    <n v="1"/>
  </r>
  <r>
    <s v="親子天下"/>
    <s v="怪傑左羅力15"/>
    <x v="1"/>
    <d v="2024-08-01T00:00:00"/>
    <n v="171.8"/>
    <s v="FB"/>
    <m/>
    <m/>
    <m/>
    <m/>
    <n v="171.8"/>
    <n v="1"/>
    <n v="1"/>
  </r>
  <r>
    <s v="親子天下"/>
    <s v="怪傑左羅力16"/>
    <x v="1"/>
    <d v="2024-08-01T00:00:00"/>
    <n v="171.8"/>
    <s v="FB"/>
    <m/>
    <m/>
    <m/>
    <m/>
    <n v="171.8"/>
    <n v="1"/>
    <n v="1"/>
  </r>
  <r>
    <s v="親子天下"/>
    <s v="怪傑左羅力17"/>
    <x v="1"/>
    <d v="2024-08-01T00:00:00"/>
    <n v="171.8"/>
    <s v="FB"/>
    <m/>
    <m/>
    <m/>
    <m/>
    <n v="171.8"/>
    <n v="1"/>
    <n v="1"/>
  </r>
  <r>
    <s v="親子天下"/>
    <s v="怪傑左羅力18"/>
    <x v="1"/>
    <d v="2024-08-01T00:00:00"/>
    <n v="171.8"/>
    <s v="FB"/>
    <m/>
    <m/>
    <m/>
    <m/>
    <n v="171.8"/>
    <n v="1"/>
    <n v="1"/>
  </r>
  <r>
    <s v="親子天下"/>
    <s v="怪傑左羅力19"/>
    <x v="1"/>
    <d v="2024-08-01T00:00:00"/>
    <n v="171.8"/>
    <s v="FB"/>
    <m/>
    <m/>
    <m/>
    <m/>
    <n v="171.8"/>
    <n v="1"/>
    <n v="1"/>
  </r>
  <r>
    <s v="親子天下"/>
    <s v="怪傑左羅力20"/>
    <x v="1"/>
    <d v="2024-08-01T00:00:00"/>
    <n v="171.8"/>
    <s v="FB"/>
    <m/>
    <m/>
    <m/>
    <m/>
    <n v="171.8"/>
    <n v="1"/>
    <n v="1"/>
  </r>
  <r>
    <s v="親子天下"/>
    <s v="怪傑左羅力21"/>
    <x v="1"/>
    <d v="2024-11-05T00:00:00"/>
    <n v="128"/>
    <s v="親子天下"/>
    <m/>
    <m/>
    <m/>
    <m/>
    <n v="128"/>
    <n v="1"/>
    <n v="1"/>
  </r>
  <r>
    <s v="親子天下"/>
    <s v="怪傑左羅力22"/>
    <x v="1"/>
    <d v="2024-11-05T00:00:00"/>
    <n v="128"/>
    <s v="親子天下"/>
    <m/>
    <m/>
    <m/>
    <m/>
    <n v="128"/>
    <n v="1"/>
    <n v="1"/>
  </r>
  <r>
    <s v="親子天下"/>
    <s v="怪傑左羅力23"/>
    <x v="1"/>
    <d v="2024-11-05T00:00:00"/>
    <n v="127"/>
    <s v="親子天下"/>
    <m/>
    <m/>
    <m/>
    <m/>
    <n v="127"/>
    <n v="1"/>
    <n v="1"/>
  </r>
  <r>
    <s v="親子天下"/>
    <s v="怪傑左羅力24"/>
    <x v="1"/>
    <d v="2024-11-05T00:00:00"/>
    <n v="126"/>
    <s v="親子天下"/>
    <m/>
    <m/>
    <m/>
    <m/>
    <n v="126"/>
    <n v="1"/>
    <n v="1"/>
  </r>
  <r>
    <s v="親子天下"/>
    <s v="怪傑左羅力25"/>
    <x v="1"/>
    <d v="2024-11-05T00:00:00"/>
    <n v="125"/>
    <s v="親子天下"/>
    <m/>
    <m/>
    <m/>
    <m/>
    <n v="125"/>
    <n v="1"/>
    <n v="1"/>
  </r>
  <r>
    <s v="親子天下"/>
    <s v="怪傑左羅力26"/>
    <x v="1"/>
    <d v="2025-01-14T00:00:00"/>
    <n v="158"/>
    <s v="親子天下"/>
    <m/>
    <m/>
    <m/>
    <m/>
    <n v="158"/>
    <n v="1"/>
    <n v="1"/>
  </r>
  <r>
    <s v="親子天下"/>
    <s v="怪傑左羅力27"/>
    <x v="1"/>
    <d v="2025-01-14T00:00:00"/>
    <n v="157"/>
    <s v="親子天下"/>
    <m/>
    <m/>
    <m/>
    <m/>
    <n v="157"/>
    <n v="1"/>
    <n v="1"/>
  </r>
  <r>
    <s v="親子天下"/>
    <s v="怪傑左羅力28"/>
    <x v="1"/>
    <d v="2025-01-14T00:00:00"/>
    <n v="174"/>
    <s v="親子天下"/>
    <m/>
    <m/>
    <m/>
    <m/>
    <n v="174"/>
    <n v="1"/>
    <n v="1"/>
  </r>
  <r>
    <s v="親子天下"/>
    <s v="怪傑左羅力29"/>
    <x v="1"/>
    <d v="2025-01-14T00:00:00"/>
    <n v="174"/>
    <s v="親子天下"/>
    <m/>
    <m/>
    <m/>
    <m/>
    <n v="174"/>
    <n v="1"/>
    <n v="1"/>
  </r>
  <r>
    <s v="親子天下"/>
    <s v="怪傑左羅力30"/>
    <x v="1"/>
    <d v="2025-01-14T00:00:00"/>
    <n v="174"/>
    <s v="親子天下"/>
    <m/>
    <m/>
    <m/>
    <m/>
    <n v="174"/>
    <n v="1"/>
    <n v="1"/>
  </r>
  <r>
    <s v="親子天下"/>
    <s v="怪傑左羅力31"/>
    <x v="1"/>
    <d v="2025-01-14T00:00:00"/>
    <n v="174"/>
    <s v="親子天下"/>
    <m/>
    <m/>
    <m/>
    <m/>
    <n v="174"/>
    <n v="1"/>
    <n v="1"/>
  </r>
  <r>
    <s v="親子天下"/>
    <s v="怪傑左羅力32"/>
    <x v="1"/>
    <d v="2025-01-14T00:00:00"/>
    <n v="183"/>
    <s v="親子天下"/>
    <m/>
    <m/>
    <m/>
    <m/>
    <n v="183"/>
    <n v="1"/>
    <n v="1"/>
  </r>
  <r>
    <s v="親子天下"/>
    <s v="怪傑左羅力33"/>
    <x v="1"/>
    <d v="2025-01-14T00:00:00"/>
    <n v="182"/>
    <s v="親子天下"/>
    <m/>
    <m/>
    <m/>
    <m/>
    <n v="182"/>
    <n v="1"/>
    <n v="1"/>
  </r>
  <r>
    <s v="親子天下"/>
    <s v="怪傑左羅力34"/>
    <x v="1"/>
    <d v="2025-01-14T00:00:00"/>
    <n v="182"/>
    <s v="親子天下"/>
    <m/>
    <m/>
    <m/>
    <m/>
    <n v="182"/>
    <n v="1"/>
    <n v="1"/>
  </r>
  <r>
    <s v="親子天下"/>
    <s v="怪傑左羅力35"/>
    <x v="1"/>
    <d v="2025-01-14T00:00:00"/>
    <n v="182"/>
    <s v="親子天下"/>
    <m/>
    <m/>
    <m/>
    <m/>
    <n v="182"/>
    <n v="1"/>
    <n v="1"/>
  </r>
  <r>
    <s v="親子天下"/>
    <s v="怪傑左羅力36"/>
    <x v="1"/>
    <d v="2025-01-14T00:00:00"/>
    <n v="182"/>
    <s v="親子天下"/>
    <m/>
    <m/>
    <m/>
    <m/>
    <n v="182"/>
    <n v="1"/>
    <n v="1"/>
  </r>
  <r>
    <s v="親子天下"/>
    <s v="怪傑左羅力37"/>
    <x v="1"/>
    <d v="2025-02-09T00:00:00"/>
    <n v="204"/>
    <s v="親子天下"/>
    <m/>
    <m/>
    <m/>
    <m/>
    <n v="204"/>
    <n v="1"/>
    <n v="1"/>
  </r>
  <r>
    <s v="親子天下"/>
    <s v="怪傑左羅力38"/>
    <x v="1"/>
    <d v="2025-02-09T00:00:00"/>
    <n v="179"/>
    <s v="親子天下"/>
    <m/>
    <m/>
    <m/>
    <m/>
    <n v="179"/>
    <n v="1"/>
    <n v="1"/>
  </r>
  <r>
    <s v="親子天下"/>
    <s v="怪傑左羅力39"/>
    <x v="1"/>
    <d v="2025-02-09T00:00:00"/>
    <n v="179"/>
    <s v="親子天下"/>
    <m/>
    <m/>
    <m/>
    <m/>
    <n v="179"/>
    <n v="1"/>
    <n v="1"/>
  </r>
  <r>
    <s v="親子天下"/>
    <s v="怪傑左羅力40"/>
    <x v="1"/>
    <d v="2025-02-09T00:00:00"/>
    <n v="179"/>
    <s v="親子天下"/>
    <m/>
    <m/>
    <m/>
    <m/>
    <n v="179"/>
    <n v="1"/>
    <n v="1"/>
  </r>
  <r>
    <s v="親子天下"/>
    <s v="怪傑左羅力41"/>
    <x v="1"/>
    <d v="2025-02-09T00:00:00"/>
    <n v="176.8"/>
    <s v="親子天下"/>
    <m/>
    <m/>
    <m/>
    <m/>
    <n v="176.8"/>
    <n v="1"/>
    <n v="1"/>
  </r>
  <r>
    <s v="親子天下"/>
    <s v="怪傑左羅力42"/>
    <x v="1"/>
    <d v="2025-02-09T00:00:00"/>
    <n v="176.8"/>
    <s v="親子天下"/>
    <m/>
    <m/>
    <m/>
    <m/>
    <n v="176.8"/>
    <n v="1"/>
    <n v="1"/>
  </r>
  <r>
    <s v="親子天下"/>
    <s v="怪傑左羅力43"/>
    <x v="1"/>
    <d v="2025-02-09T00:00:00"/>
    <n v="176.8"/>
    <s v="親子天下"/>
    <m/>
    <m/>
    <m/>
    <m/>
    <n v="176.8"/>
    <n v="1"/>
    <n v="1"/>
  </r>
  <r>
    <s v="親子天下"/>
    <s v="怪傑左羅力44"/>
    <x v="1"/>
    <d v="2025-02-09T00:00:00"/>
    <n v="176.8"/>
    <s v="親子天下"/>
    <m/>
    <m/>
    <m/>
    <m/>
    <n v="176.8"/>
    <n v="1"/>
    <n v="1"/>
  </r>
  <r>
    <s v="親子天下"/>
    <s v="怪傑左羅力45"/>
    <x v="1"/>
    <d v="2025-02-09T00:00:00"/>
    <n v="176.8"/>
    <s v="親子天下"/>
    <m/>
    <m/>
    <m/>
    <m/>
    <n v="176.8"/>
    <n v="1"/>
    <n v="1"/>
  </r>
  <r>
    <s v="親子天下"/>
    <s v="怪傑左羅力46"/>
    <x v="1"/>
    <d v="2025-02-09T00:00:00"/>
    <n v="178.2"/>
    <s v="親子天下"/>
    <m/>
    <m/>
    <m/>
    <m/>
    <n v="178.2"/>
    <n v="1"/>
    <n v="1"/>
  </r>
  <r>
    <s v="親子天下"/>
    <s v="怪傑左羅力47"/>
    <x v="1"/>
    <d v="2025-02-09T00:00:00"/>
    <n v="178.2"/>
    <s v="親子天下"/>
    <m/>
    <m/>
    <m/>
    <m/>
    <n v="178.2"/>
    <n v="1"/>
    <n v="1"/>
  </r>
  <r>
    <s v="親子天下"/>
    <s v="怪傑左羅力48"/>
    <x v="1"/>
    <d v="2025-02-09T00:00:00"/>
    <n v="178.2"/>
    <s v="親子天下"/>
    <m/>
    <m/>
    <m/>
    <m/>
    <n v="178.2"/>
    <n v="1"/>
    <n v="1"/>
  </r>
  <r>
    <s v="親子天下"/>
    <s v="怪傑左羅力49"/>
    <x v="1"/>
    <d v="2025-02-09T00:00:00"/>
    <n v="178.2"/>
    <s v="親子天下"/>
    <m/>
    <m/>
    <m/>
    <m/>
    <n v="178.2"/>
    <n v="1"/>
    <n v="1"/>
  </r>
  <r>
    <s v="親子天下"/>
    <s v="怪傑左羅力50"/>
    <x v="1"/>
    <d v="2025-02-09T00:00:00"/>
    <n v="178.2"/>
    <s v="親子天下"/>
    <m/>
    <m/>
    <m/>
    <m/>
    <n v="178.2"/>
    <n v="1"/>
    <n v="1"/>
  </r>
  <r>
    <s v="親子天下"/>
    <s v="怪傑佐羅力51"/>
    <x v="1"/>
    <d v="2025-10-01T00:00:00"/>
    <n v="173"/>
    <s v="親子天下"/>
    <m/>
    <m/>
    <d v="2026-01-24T00:00:00"/>
    <s v="使用6700點及優惠券100元"/>
    <n v="173"/>
    <n v="1"/>
    <n v="1"/>
  </r>
  <r>
    <s v="親子天下"/>
    <s v="怪傑佐羅力52"/>
    <x v="1"/>
    <d v="2025-10-01T00:00:00"/>
    <n v="172"/>
    <s v="親子天下"/>
    <m/>
    <m/>
    <d v="2026-01-18T00:00:00"/>
    <s v="使用6700點及優惠券100元"/>
    <n v="172"/>
    <n v="1"/>
    <n v="1"/>
  </r>
  <r>
    <s v="親子天下"/>
    <s v="怪傑佐羅力53"/>
    <x v="1"/>
    <d v="2025-10-01T00:00:00"/>
    <n v="171"/>
    <s v="親子天下"/>
    <m/>
    <m/>
    <d v="2026-01-21T00:00:00"/>
    <s v="使用6700點及優惠券100元"/>
    <n v="171"/>
    <n v="1"/>
    <n v="1"/>
  </r>
  <r>
    <s v="親子天下"/>
    <s v="怪傑佐羅力54"/>
    <x v="1"/>
    <d v="2025-10-01T00:00:00"/>
    <n v="171"/>
    <s v="親子天下"/>
    <m/>
    <m/>
    <d v="2025-11-08T00:00:00"/>
    <s v="使用6700點及優惠券100元"/>
    <n v="171"/>
    <n v="1"/>
    <n v="1"/>
  </r>
  <r>
    <s v="親子天下"/>
    <s v="怪傑佐羅力55"/>
    <x v="1"/>
    <d v="2025-10-01T00:00:00"/>
    <n v="171"/>
    <s v="親子天下"/>
    <m/>
    <m/>
    <m/>
    <s v="使用6700點及優惠券100元"/>
    <n v="171"/>
    <n v="1"/>
    <n v="1"/>
  </r>
  <r>
    <s v="親子天下"/>
    <s v="怪傑佐羅力56"/>
    <x v="1"/>
    <d v="2025-10-11T00:00:00"/>
    <n v="179"/>
    <s v="親子天下"/>
    <m/>
    <m/>
    <d v="2026-01-23T00:00:00"/>
    <s v="優惠券100元"/>
    <n v="179"/>
    <n v="1"/>
    <n v="1"/>
  </r>
  <r>
    <s v="親子天下"/>
    <s v="怪傑佐羅力57"/>
    <x v="1"/>
    <d v="2025-10-11T00:00:00"/>
    <n v="179"/>
    <s v="親子天下"/>
    <m/>
    <m/>
    <d v="2025-12-03T00:00:00"/>
    <s v="優惠券100元"/>
    <n v="179"/>
    <n v="1"/>
    <n v="1"/>
  </r>
  <r>
    <s v="親子天下"/>
    <s v="怪傑佐羅力58"/>
    <x v="1"/>
    <d v="2025-10-11T00:00:00"/>
    <n v="178"/>
    <s v="親子天下"/>
    <m/>
    <m/>
    <d v="2025-11-04T00:00:00"/>
    <s v="優惠券100元"/>
    <n v="178"/>
    <n v="1"/>
    <n v="1"/>
  </r>
  <r>
    <s v="親子天下"/>
    <s v="怪傑佐羅力59"/>
    <x v="1"/>
    <d v="2025-10-11T00:00:00"/>
    <n v="178"/>
    <s v="親子天下"/>
    <m/>
    <m/>
    <d v="2026-03-07T00:00:00"/>
    <s v="優惠券100元"/>
    <n v="178"/>
    <n v="1"/>
    <n v="1"/>
  </r>
  <r>
    <s v="親子天下"/>
    <s v="怪傑佐羅力60"/>
    <x v="1"/>
    <d v="2025-10-11T00:00:00"/>
    <n v="189"/>
    <s v="親子天下"/>
    <m/>
    <m/>
    <d v="2025-10-09T00:00:00"/>
    <s v="優惠券100元"/>
    <n v="189"/>
    <n v="1"/>
    <n v="1"/>
  </r>
  <r>
    <s v="親子天下"/>
    <s v="君偉上小學1"/>
    <x v="1"/>
    <d v="2024-10-27T00:00:00"/>
    <n v="230"/>
    <s v="親子天下"/>
    <n v="-184.66666666666666"/>
    <d v="2025-09-20T00:00:00"/>
    <m/>
    <m/>
    <n v="45.333333333333343"/>
    <n v="1"/>
    <n v="1"/>
  </r>
  <r>
    <s v="親子天下"/>
    <s v="君偉上小學2"/>
    <x v="1"/>
    <d v="2024-10-27T00:00:00"/>
    <n v="230"/>
    <s v="親子天下"/>
    <n v="-184.66666666666666"/>
    <d v="2025-09-20T00:00:00"/>
    <m/>
    <m/>
    <n v="45.333333333333343"/>
    <n v="1"/>
    <n v="1"/>
  </r>
  <r>
    <s v="親子天下"/>
    <s v="君偉上小學3"/>
    <x v="1"/>
    <d v="2024-10-27T00:00:00"/>
    <n v="229"/>
    <s v="親子天下"/>
    <n v="-184.66666666666666"/>
    <d v="2025-09-20T00:00:00"/>
    <m/>
    <m/>
    <n v="44.333333333333343"/>
    <n v="1"/>
    <n v="1"/>
  </r>
  <r>
    <s v="親子天下"/>
    <s v="君偉上小學4"/>
    <x v="1"/>
    <d v="2024-10-27T00:00:00"/>
    <n v="228"/>
    <s v="親子天下"/>
    <n v="-184.66666666666666"/>
    <d v="2025-09-20T00:00:00"/>
    <m/>
    <m/>
    <n v="43.333333333333343"/>
    <n v="1"/>
    <n v="1"/>
  </r>
  <r>
    <s v="親子天下"/>
    <s v="君偉上小學5"/>
    <x v="1"/>
    <d v="2024-10-27T00:00:00"/>
    <n v="228"/>
    <s v="親子天下"/>
    <n v="-184.66666666666666"/>
    <d v="2025-09-20T00:00:00"/>
    <m/>
    <m/>
    <n v="43.333333333333343"/>
    <n v="1"/>
    <n v="1"/>
  </r>
  <r>
    <s v="親子天下"/>
    <s v="君偉上小學6"/>
    <x v="1"/>
    <d v="2024-10-27T00:00:00"/>
    <n v="228"/>
    <s v="親子天下"/>
    <n v="-184.66666666666666"/>
    <d v="2025-09-20T00:00:00"/>
    <m/>
    <m/>
    <n v="43.333333333333343"/>
    <n v="1"/>
    <n v="1"/>
  </r>
  <r>
    <s v="親子天下"/>
    <s v="爆笑小火龍套書1"/>
    <x v="1"/>
    <d v="2024-10-27T00:00:00"/>
    <n v="191.71428571428572"/>
    <s v="親子天下"/>
    <n v="-155"/>
    <d v="2025-10-11T00:00:00"/>
    <d v="2025-10-06T00:00:00"/>
    <m/>
    <n v="36.714285714285722"/>
    <n v="1"/>
    <n v="1"/>
  </r>
  <r>
    <s v="親子天下"/>
    <s v="爆笑小火龍套書2"/>
    <x v="1"/>
    <d v="2024-10-27T00:00:00"/>
    <n v="191.71428571428572"/>
    <s v="親子天下"/>
    <n v="-155"/>
    <d v="2025-10-11T00:00:00"/>
    <d v="2025-10-06T00:00:00"/>
    <m/>
    <n v="36.714285714285722"/>
    <n v="1"/>
    <n v="1"/>
  </r>
  <r>
    <s v="親子天下"/>
    <s v="爆笑小火龍套書3"/>
    <x v="1"/>
    <d v="2024-10-27T00:00:00"/>
    <n v="191.71428571428572"/>
    <s v="親子天下"/>
    <n v="-155"/>
    <d v="2025-10-11T00:00:00"/>
    <d v="2025-10-11T00:00:00"/>
    <m/>
    <n v="36.714285714285722"/>
    <n v="1"/>
    <n v="1"/>
  </r>
  <r>
    <s v="親子天下"/>
    <s v="爆笑小火龍套書4"/>
    <x v="1"/>
    <d v="2024-10-27T00:00:00"/>
    <n v="191.71428571428572"/>
    <s v="親子天下"/>
    <n v="-155"/>
    <d v="2025-10-11T00:00:00"/>
    <d v="2025-10-07T00:00:00"/>
    <m/>
    <n v="36.714285714285722"/>
    <n v="1"/>
    <n v="1"/>
  </r>
  <r>
    <s v="親子天下"/>
    <s v="爆笑小火龍套書5"/>
    <x v="1"/>
    <d v="2024-10-27T00:00:00"/>
    <n v="191.71428571428572"/>
    <s v="親子天下"/>
    <n v="-155"/>
    <d v="2025-10-11T00:00:00"/>
    <d v="2025-10-11T00:00:00"/>
    <m/>
    <n v="36.714285714285722"/>
    <n v="1"/>
    <n v="1"/>
  </r>
  <r>
    <s v="親子天下"/>
    <s v="爆笑小火龍套書6"/>
    <x v="1"/>
    <d v="2024-10-27T00:00:00"/>
    <n v="191.71428571428572"/>
    <s v="親子天下"/>
    <n v="-155"/>
    <d v="2025-10-11T00:00:00"/>
    <d v="2025-10-10T00:00:00"/>
    <m/>
    <n v="36.714285714285722"/>
    <n v="1"/>
    <n v="1"/>
  </r>
  <r>
    <s v="親子天下"/>
    <s v="爆笑小火龍套書7"/>
    <x v="1"/>
    <d v="2024-10-27T00:00:00"/>
    <n v="191.71428571428572"/>
    <s v="親子天下"/>
    <n v="-155"/>
    <d v="2025-10-11T00:00:00"/>
    <d v="2025-10-05T00:00:00"/>
    <m/>
    <n v="36.714285714285722"/>
    <n v="1"/>
    <n v="1"/>
  </r>
  <r>
    <s v="親子天下"/>
    <s v="我家套書1-我家有個遊樂園"/>
    <x v="1"/>
    <d v="2024-10-27T00:00:00"/>
    <n v="157.6"/>
    <s v="親子天下"/>
    <m/>
    <m/>
    <m/>
    <m/>
    <n v="157.6"/>
    <n v="1"/>
    <n v="1"/>
  </r>
  <r>
    <s v="親子天下"/>
    <s v="我家套書2-我家有個花果菜園"/>
    <x v="1"/>
    <d v="2024-10-27T00:00:00"/>
    <n v="157.6"/>
    <s v="親子天下"/>
    <m/>
    <m/>
    <d v="2025-12-07T00:00:00"/>
    <m/>
    <n v="157.6"/>
    <n v="1"/>
    <n v="1"/>
  </r>
  <r>
    <s v="親子天下"/>
    <s v="我家套書3-我家有個烏龜園"/>
    <x v="1"/>
    <d v="2024-10-27T00:00:00"/>
    <n v="157.6"/>
    <s v="親子天下"/>
    <m/>
    <m/>
    <d v="2025-11-30T00:00:00"/>
    <m/>
    <n v="157.6"/>
    <n v="1"/>
    <n v="1"/>
  </r>
  <r>
    <s v="親子天下"/>
    <s v="我家套書4-我家蓋了新房子"/>
    <x v="1"/>
    <d v="2024-10-27T00:00:00"/>
    <n v="157.6"/>
    <s v="親子天下"/>
    <m/>
    <m/>
    <m/>
    <m/>
    <n v="157.6"/>
    <n v="1"/>
    <n v="1"/>
  </r>
  <r>
    <s v="親子天下"/>
    <s v="我家套書5-我家的美味時間"/>
    <x v="1"/>
    <d v="2024-10-27T00:00:00"/>
    <n v="157.6"/>
    <s v="親子天下"/>
    <m/>
    <m/>
    <d v="2025-12-06T00:00:00"/>
    <m/>
    <n v="157.6"/>
    <n v="1"/>
    <n v="1"/>
  </r>
  <r>
    <s v="親子天下"/>
    <s v="微生物的小秘密1"/>
    <x v="1"/>
    <d v="2025-06-09T00:00:00"/>
    <n v="201.5"/>
    <s v="MOMO"/>
    <m/>
    <m/>
    <m/>
    <m/>
    <n v="201.5"/>
    <n v="1"/>
    <n v="1"/>
  </r>
  <r>
    <s v="親子天下"/>
    <s v="微生物的小秘密2"/>
    <x v="1"/>
    <d v="2025-06-09T00:00:00"/>
    <n v="201.5"/>
    <s v="MOMO"/>
    <m/>
    <m/>
    <m/>
    <m/>
    <n v="201.5"/>
    <n v="1"/>
    <n v="1"/>
  </r>
  <r>
    <s v="親子天下"/>
    <s v="微生物的小秘密3"/>
    <x v="1"/>
    <d v="2025-06-09T00:00:00"/>
    <n v="201.5"/>
    <s v="MOMO"/>
    <m/>
    <m/>
    <d v="2025-10-17T00:00:00"/>
    <m/>
    <n v="201.5"/>
    <n v="1"/>
    <n v="1"/>
  </r>
  <r>
    <s v="親子天下"/>
    <s v="微生物的小秘密4"/>
    <x v="1"/>
    <d v="2025-06-09T00:00:00"/>
    <n v="201.5"/>
    <s v="MOMO"/>
    <m/>
    <m/>
    <d v="2025-10-18T00:00:00"/>
    <m/>
    <n v="201.5"/>
    <n v="1"/>
    <n v="1"/>
  </r>
  <r>
    <s v="親子天下"/>
    <s v="奇想西遊記1"/>
    <x v="1"/>
    <d v="2024-11-10T00:00:00"/>
    <n v="155.5"/>
    <s v="MOMO"/>
    <n v="-141.5"/>
    <d v="2025-10-25T00:00:00"/>
    <m/>
    <s v="雙11"/>
    <n v="14"/>
    <n v="1"/>
    <n v="1"/>
  </r>
  <r>
    <s v="親子天下"/>
    <s v="奇想西遊記2"/>
    <x v="1"/>
    <d v="2024-11-10T00:00:00"/>
    <n v="155.5"/>
    <s v="MOMO"/>
    <n v="-141.5"/>
    <d v="2025-10-25T00:00:00"/>
    <d v="2025-09-04T00:00:00"/>
    <s v="雙11"/>
    <n v="14"/>
    <n v="1"/>
    <n v="1"/>
  </r>
  <r>
    <s v="親子天下"/>
    <s v="奇想西遊記3"/>
    <x v="1"/>
    <d v="2024-11-10T00:00:00"/>
    <n v="155.5"/>
    <s v="MOMO"/>
    <n v="-141.5"/>
    <d v="2025-10-25T00:00:00"/>
    <d v="2025-09-12T00:00:00"/>
    <s v="雙11"/>
    <n v="14"/>
    <n v="1"/>
    <n v="1"/>
  </r>
  <r>
    <s v="親子天下"/>
    <s v="奇想西遊記4"/>
    <x v="1"/>
    <d v="2024-11-10T00:00:00"/>
    <n v="155.5"/>
    <s v="MOMO"/>
    <n v="-141.5"/>
    <d v="2025-10-25T00:00:00"/>
    <d v="2025-09-21T00:00:00"/>
    <s v="雙11"/>
    <n v="14"/>
    <n v="1"/>
    <n v="1"/>
  </r>
  <r>
    <s v="親子天下"/>
    <s v="山雨小學2：生氣王子番外篇"/>
    <x v="1"/>
    <d v="2024-05-13T00:00:00"/>
    <n v="259.5"/>
    <s v="其他"/>
    <n v="-176"/>
    <m/>
    <m/>
    <m/>
    <n v="83.5"/>
    <n v="1"/>
    <n v="1"/>
  </r>
  <r>
    <s v="親子天下"/>
    <s v="山雨小學1：愛哭公主番外篇"/>
    <x v="1"/>
    <d v="2024-05-13T00:00:00"/>
    <n v="259.5"/>
    <s v="其他"/>
    <n v="-176"/>
    <m/>
    <m/>
    <m/>
    <n v="83.5"/>
    <n v="1"/>
    <n v="1"/>
  </r>
  <r>
    <s v="親子天下"/>
    <s v="愛思考的貓巧可1"/>
    <x v="1"/>
    <d v="2023-06-25T00:00:00"/>
    <n v="156.19999999999999"/>
    <s v="誠品"/>
    <n v="-123"/>
    <m/>
    <m/>
    <m/>
    <n v="33.199999999999989"/>
    <n v="1"/>
    <n v="1"/>
  </r>
  <r>
    <s v="親子天下"/>
    <s v="愛思考的貓巧可2"/>
    <x v="1"/>
    <d v="2023-06-25T00:00:00"/>
    <n v="156.19999999999999"/>
    <s v="誠品"/>
    <n v="-123"/>
    <m/>
    <m/>
    <m/>
    <n v="33.199999999999989"/>
    <n v="1"/>
    <n v="1"/>
  </r>
  <r>
    <s v="親子天下"/>
    <s v="愛思考的貓巧可3"/>
    <x v="1"/>
    <d v="2023-06-25T00:00:00"/>
    <n v="156.19999999999999"/>
    <s v="誠品"/>
    <n v="-123"/>
    <m/>
    <m/>
    <m/>
    <n v="33.199999999999989"/>
    <n v="1"/>
    <n v="1"/>
  </r>
  <r>
    <s v="親子天下"/>
    <s v="愛思考的貓巧可4"/>
    <x v="1"/>
    <d v="2023-06-25T00:00:00"/>
    <n v="156.19999999999999"/>
    <s v="誠品"/>
    <n v="-123"/>
    <m/>
    <m/>
    <m/>
    <n v="33.199999999999989"/>
    <n v="1"/>
    <n v="1"/>
  </r>
  <r>
    <s v="親子天下"/>
    <s v="愛思考的貓巧可5"/>
    <x v="1"/>
    <d v="2023-06-25T00:00:00"/>
    <n v="156.19999999999999"/>
    <s v="誠品"/>
    <n v="-123"/>
    <m/>
    <m/>
    <m/>
    <n v="33.199999999999989"/>
    <n v="1"/>
    <n v="1"/>
  </r>
  <r>
    <s v="親子天下"/>
    <s v="字的傳奇1"/>
    <x v="1"/>
    <d v="2023-08-30T00:00:00"/>
    <n v="192.8"/>
    <s v="親子天下"/>
    <n v="-155.4"/>
    <d v="2025-11-04T00:00:00"/>
    <d v="2025-09-02T00:00:00"/>
    <m/>
    <n v="37.400000000000006"/>
    <n v="1"/>
    <n v="1"/>
  </r>
  <r>
    <s v="親子天下"/>
    <s v="字的傳奇2"/>
    <x v="1"/>
    <d v="2023-08-30T00:00:00"/>
    <n v="192.8"/>
    <s v="親子天下"/>
    <n v="-155.4"/>
    <d v="2025-11-04T00:00:00"/>
    <d v="2025-09-21T00:00:00"/>
    <m/>
    <n v="37.400000000000006"/>
    <n v="1"/>
    <n v="1"/>
  </r>
  <r>
    <s v="親子天下"/>
    <s v="字的傳奇3"/>
    <x v="1"/>
    <d v="2023-08-30T00:00:00"/>
    <n v="192.8"/>
    <s v="親子天下"/>
    <n v="-155.4"/>
    <d v="2025-11-04T00:00:00"/>
    <d v="2025-09-28T00:00:00"/>
    <m/>
    <n v="37.400000000000006"/>
    <n v="1"/>
    <n v="1"/>
  </r>
  <r>
    <s v="親子天下"/>
    <s v="字的傳奇4"/>
    <x v="1"/>
    <d v="2023-08-30T00:00:00"/>
    <n v="192.8"/>
    <s v="親子天下"/>
    <n v="-155.4"/>
    <d v="2025-11-04T00:00:00"/>
    <d v="2025-09-29T00:00:00"/>
    <m/>
    <n v="37.400000000000006"/>
    <n v="1"/>
    <n v="1"/>
  </r>
  <r>
    <s v="親子天下"/>
    <s v="字的傳奇5"/>
    <x v="1"/>
    <d v="2023-08-30T00:00:00"/>
    <n v="192.8"/>
    <s v="親子天下"/>
    <n v="-155.4"/>
    <d v="2025-11-04T00:00:00"/>
    <d v="2025-10-03T00:00:00"/>
    <m/>
    <n v="37.400000000000006"/>
    <n v="1"/>
    <n v="1"/>
  </r>
  <r>
    <s v="采實"/>
    <s v="給小學生的環境自然課"/>
    <x v="1"/>
    <d v="2025-10-20T00:00:00"/>
    <n v="0"/>
    <s v="團書"/>
    <m/>
    <m/>
    <m/>
    <m/>
    <n v="0"/>
    <n v="1"/>
    <n v="1"/>
  </r>
  <r>
    <s v="采實"/>
    <s v="101種書的使用方法"/>
    <x v="0"/>
    <d v="2025-10-20T00:00:00"/>
    <n v="0"/>
    <s v="團書"/>
    <m/>
    <m/>
    <m/>
    <m/>
    <n v="0"/>
    <s v=""/>
    <n v="1"/>
  </r>
  <r>
    <s v="采實"/>
    <s v="生活素養小學堂1"/>
    <x v="0"/>
    <d v="2025-10-20T00:00:00"/>
    <n v="220.75"/>
    <s v="團書"/>
    <m/>
    <m/>
    <m/>
    <s v="已9折後再折50元"/>
    <n v="220.75"/>
    <s v=""/>
    <n v="1"/>
  </r>
  <r>
    <s v="采實"/>
    <s v="生活素養小學堂2"/>
    <x v="0"/>
    <d v="2025-10-20T00:00:00"/>
    <n v="220.75"/>
    <s v="團書"/>
    <m/>
    <m/>
    <m/>
    <s v="已9折後再折50元"/>
    <n v="220.75"/>
    <s v=""/>
    <n v="1"/>
  </r>
  <r>
    <s v="采實"/>
    <s v="生活素養小學堂3"/>
    <x v="0"/>
    <d v="2025-10-20T00:00:00"/>
    <n v="220.75"/>
    <s v="團書"/>
    <m/>
    <m/>
    <m/>
    <s v="已9折後再折50元"/>
    <n v="220.75"/>
    <s v=""/>
    <n v="1"/>
  </r>
  <r>
    <s v="采實"/>
    <s v="生活素養小學堂4"/>
    <x v="0"/>
    <d v="2025-10-20T00:00:00"/>
    <n v="220.75"/>
    <s v="團書"/>
    <m/>
    <m/>
    <m/>
    <s v="已9折後再折50元"/>
    <n v="220.75"/>
    <s v=""/>
    <n v="1"/>
  </r>
  <r>
    <s v="采實"/>
    <s v="科學小偵探1-神秘島的謎團"/>
    <x v="1"/>
    <d v="2025-10-20T00:00:00"/>
    <n v="202.66666666666666"/>
    <s v="團書"/>
    <m/>
    <m/>
    <d v="2025-12-28T00:00:00"/>
    <s v="已9折後再折50元"/>
    <n v="202.66666666666666"/>
    <n v="1"/>
    <n v="1"/>
  </r>
  <r>
    <s v="采實"/>
    <s v="科學小偵探2-勇闖科學樂園"/>
    <x v="1"/>
    <d v="2025-10-20T00:00:00"/>
    <n v="202.66666666666666"/>
    <s v="團書"/>
    <m/>
    <m/>
    <d v="2026-01-01T00:00:00"/>
    <s v="已9折後再折50元"/>
    <n v="202.66666666666666"/>
    <n v="1"/>
    <n v="1"/>
  </r>
  <r>
    <s v="采實"/>
    <s v="科學小偵探3-抓住神秘怪盜"/>
    <x v="1"/>
    <d v="2025-10-20T00:00:00"/>
    <n v="202.66666666666666"/>
    <s v="團書"/>
    <m/>
    <m/>
    <d v="2026-03-17T00:00:00"/>
    <s v="已9折後再折50元"/>
    <n v="202.66666666666666"/>
    <n v="1"/>
    <n v="1"/>
  </r>
  <r>
    <s v="采實"/>
    <s v="小學生的腦科學漫畫-人類探索研究小隊1"/>
    <x v="0"/>
    <d v="2025-10-20T00:00:00"/>
    <n v="203"/>
    <s v="團書"/>
    <m/>
    <m/>
    <m/>
    <s v="已9折後再折50元"/>
    <n v="203"/>
    <s v=""/>
    <n v="1"/>
  </r>
  <r>
    <s v="采實"/>
    <s v="小學生的腦科學漫畫-人類探索研究小隊2"/>
    <x v="0"/>
    <d v="2025-10-20T00:00:00"/>
    <n v="203"/>
    <s v="團書"/>
    <m/>
    <m/>
    <m/>
    <s v="已9折後再折50元"/>
    <n v="203"/>
    <s v=""/>
    <n v="1"/>
  </r>
  <r>
    <s v="采實"/>
    <s v="小學生的腦科學漫畫-人類探索研究小隊3 為什麼人有這麼多情緒？"/>
    <x v="1"/>
    <d v="2025-10-20T00:00:00"/>
    <n v="203"/>
    <s v="團書"/>
    <m/>
    <m/>
    <d v="2025-12-24T00:00:00"/>
    <s v="已9折後再折50元"/>
    <n v="203"/>
    <n v="1"/>
    <n v="1"/>
  </r>
  <r>
    <s v="采實"/>
    <s v="操場底下的100層樓學校1"/>
    <x v="1"/>
    <d v="2025-04-07T00:00:00"/>
    <n v="115.19999999999999"/>
    <s v="博客來"/>
    <m/>
    <m/>
    <m/>
    <m/>
    <n v="115.19999999999999"/>
    <n v="1"/>
    <n v="1"/>
  </r>
  <r>
    <s v="采實"/>
    <s v="操場底下的100層樓學校2"/>
    <x v="1"/>
    <d v="2025-04-07T00:00:00"/>
    <n v="115.19999999999999"/>
    <s v="博客來"/>
    <m/>
    <m/>
    <d v="2025-12-18T00:00:00"/>
    <m/>
    <n v="115.19999999999999"/>
    <n v="1"/>
    <n v="1"/>
  </r>
  <r>
    <s v="采實"/>
    <s v="操場底下的100層樓學校3"/>
    <x v="0"/>
    <d v="2025-04-07T00:00:00"/>
    <n v="115.19999999999999"/>
    <s v="博客來"/>
    <m/>
    <m/>
    <m/>
    <m/>
    <n v="115.19999999999999"/>
    <s v=""/>
    <n v="1"/>
  </r>
  <r>
    <s v="采實"/>
    <s v="操場底下的100層樓學校4"/>
    <x v="0"/>
    <d v="2025-04-07T00:00:00"/>
    <n v="115.19999999999999"/>
    <s v="博客來"/>
    <m/>
    <m/>
    <m/>
    <m/>
    <n v="115.19999999999999"/>
    <s v=""/>
    <n v="1"/>
  </r>
  <r>
    <s v="采實"/>
    <s v="科學天才小偵探1"/>
    <x v="1"/>
    <d v="2024-07-07T00:00:00"/>
    <n v="209"/>
    <s v="MOMO"/>
    <m/>
    <m/>
    <m/>
    <m/>
    <n v="209"/>
    <n v="1"/>
    <n v="1"/>
  </r>
  <r>
    <s v="采實"/>
    <s v="科學天才小偵探2"/>
    <x v="1"/>
    <d v="2024-07-07T00:00:00"/>
    <n v="209"/>
    <s v="MOMO"/>
    <m/>
    <m/>
    <m/>
    <m/>
    <n v="209"/>
    <n v="1"/>
    <n v="1"/>
  </r>
  <r>
    <s v="采實"/>
    <s v="科學天才小偵探3"/>
    <x v="0"/>
    <d v="2024-07-07T00:00:00"/>
    <n v="209"/>
    <s v="MOMO"/>
    <m/>
    <m/>
    <m/>
    <m/>
    <n v="209"/>
    <s v=""/>
    <n v="1"/>
  </r>
  <r>
    <s v="采實"/>
    <s v="科學天才小偵探4"/>
    <x v="0"/>
    <d v="2024-07-07T00:00:00"/>
    <n v="209"/>
    <s v="MOMO"/>
    <m/>
    <m/>
    <m/>
    <m/>
    <n v="209"/>
    <s v=""/>
    <n v="1"/>
  </r>
  <r>
    <s v="采實"/>
    <s v="科學天才小偵探5"/>
    <x v="0"/>
    <d v="2024-07-07T00:00:00"/>
    <n v="209"/>
    <s v="MOMO"/>
    <m/>
    <m/>
    <m/>
    <m/>
    <n v="209"/>
    <s v=""/>
    <n v="1"/>
  </r>
  <r>
    <s v="華王"/>
    <s v="爆笑科學王1"/>
    <x v="1"/>
    <d v="2023-08-07T00:00:00"/>
    <n v="197.2"/>
    <s v="博客來"/>
    <m/>
    <m/>
    <m/>
    <m/>
    <n v="197.2"/>
    <n v="1"/>
    <n v="1"/>
  </r>
  <r>
    <s v="華王"/>
    <s v="爆笑科學王2"/>
    <x v="1"/>
    <d v="2023-08-07T00:00:00"/>
    <n v="197.2"/>
    <s v="博客來"/>
    <m/>
    <m/>
    <m/>
    <m/>
    <n v="197.2"/>
    <n v="1"/>
    <n v="1"/>
  </r>
  <r>
    <s v="華王"/>
    <s v="爆笑科學王3"/>
    <x v="1"/>
    <d v="2023-08-07T00:00:00"/>
    <n v="197.2"/>
    <s v="博客來"/>
    <m/>
    <m/>
    <m/>
    <m/>
    <n v="197.2"/>
    <n v="1"/>
    <n v="1"/>
  </r>
  <r>
    <s v="華王"/>
    <s v="爆笑科學王4"/>
    <x v="1"/>
    <d v="2023-08-07T00:00:00"/>
    <n v="197.2"/>
    <s v="博客來"/>
    <m/>
    <m/>
    <m/>
    <m/>
    <n v="197.2"/>
    <n v="1"/>
    <n v="1"/>
  </r>
  <r>
    <s v="華王"/>
    <s v="爆笑科學王5"/>
    <x v="1"/>
    <d v="2023-08-07T00:00:00"/>
    <n v="197.2"/>
    <s v="博客來"/>
    <m/>
    <m/>
    <m/>
    <m/>
    <n v="197.2"/>
    <n v="1"/>
    <n v="1"/>
  </r>
  <r>
    <s v="華王"/>
    <s v="爆笑科學王6"/>
    <x v="1"/>
    <d v="2025-08-10T00:00:00"/>
    <n v="236.25"/>
    <s v="MOMO"/>
    <m/>
    <m/>
    <m/>
    <m/>
    <n v="236.25"/>
    <n v="1"/>
    <n v="1"/>
  </r>
  <r>
    <s v="華王"/>
    <s v="爆笑科學王7"/>
    <x v="1"/>
    <d v="2025-08-10T00:00:00"/>
    <n v="236.25"/>
    <s v="MOMO"/>
    <m/>
    <m/>
    <m/>
    <m/>
    <n v="236.25"/>
    <n v="1"/>
    <n v="1"/>
  </r>
  <r>
    <s v="華王"/>
    <s v="爆笑科學王8"/>
    <x v="1"/>
    <d v="2025-08-10T00:00:00"/>
    <n v="236.25"/>
    <s v="MOMO"/>
    <m/>
    <m/>
    <m/>
    <m/>
    <n v="236.25"/>
    <n v="1"/>
    <n v="1"/>
  </r>
  <r>
    <s v="華王"/>
    <s v="爆笑科學王9"/>
    <x v="1"/>
    <d v="2025-08-10T00:00:00"/>
    <n v="236.25"/>
    <s v="MOMO"/>
    <m/>
    <m/>
    <d v="2025-09-02T00:00:00"/>
    <m/>
    <n v="236.25"/>
    <n v="1"/>
    <n v="1"/>
  </r>
  <r>
    <s v="華王"/>
    <s v="爆笑科學王10"/>
    <x v="1"/>
    <d v="2025-08-28T00:00:00"/>
    <n v="252"/>
    <s v="MOMO"/>
    <m/>
    <m/>
    <d v="2025-09-15T00:00:00"/>
    <m/>
    <n v="252"/>
    <n v="1"/>
    <n v="1"/>
  </r>
  <r>
    <s v="華王"/>
    <s v="爆笑科學王11"/>
    <x v="1"/>
    <d v="2025-08-28T00:00:00"/>
    <n v="252"/>
    <s v="MOMO"/>
    <m/>
    <m/>
    <d v="2025-09-23T00:00:00"/>
    <m/>
    <n v="252"/>
    <n v="1"/>
    <n v="1"/>
  </r>
  <r>
    <s v="華王"/>
    <s v="爆笑科學王12"/>
    <x v="1"/>
    <d v="2025-08-28T00:00:00"/>
    <n v="252"/>
    <s v="MOMO"/>
    <m/>
    <m/>
    <d v="2025-09-24T00:00:00"/>
    <m/>
    <n v="252"/>
    <n v="1"/>
    <n v="1"/>
  </r>
  <r>
    <s v="華王"/>
    <s v="爆笑科學王13"/>
    <x v="1"/>
    <d v="2025-09-23T00:00:00"/>
    <n v="243"/>
    <s v="MOMO"/>
    <m/>
    <m/>
    <d v="2025-10-02T00:00:00"/>
    <m/>
    <n v="243"/>
    <n v="1"/>
    <n v="1"/>
  </r>
  <r>
    <s v="華王"/>
    <s v="爆笑科學王14"/>
    <x v="1"/>
    <d v="2025-09-23T00:00:00"/>
    <n v="243"/>
    <s v="MOMO"/>
    <m/>
    <m/>
    <d v="2025-10-04T00:00:00"/>
    <m/>
    <n v="243"/>
    <n v="1"/>
    <n v="1"/>
  </r>
  <r>
    <s v="華王"/>
    <s v="爆笑科學王15"/>
    <x v="1"/>
    <d v="2025-09-23T00:00:00"/>
    <n v="243"/>
    <s v="MOMO"/>
    <m/>
    <m/>
    <d v="2025-10-06T00:00:00"/>
    <m/>
    <n v="243"/>
    <n v="1"/>
    <n v="1"/>
  </r>
  <r>
    <s v="華王"/>
    <s v="爆笑科學王16"/>
    <x v="1"/>
    <d v="2025-11-04T00:00:00"/>
    <n v="238"/>
    <s v="MOMO"/>
    <m/>
    <m/>
    <d v="2025-12-25T00:00:00"/>
    <m/>
    <n v="238"/>
    <n v="1"/>
    <n v="1"/>
  </r>
  <r>
    <s v="華王"/>
    <s v="爆笑科學王17"/>
    <x v="1"/>
    <d v="2025-11-04T00:00:00"/>
    <n v="212"/>
    <s v="MOMO"/>
    <m/>
    <m/>
    <d v="2025-12-27T00:00:00"/>
    <m/>
    <n v="212"/>
    <n v="1"/>
    <n v="1"/>
  </r>
  <r>
    <s v="華王"/>
    <s v="爆笑科學王18"/>
    <x v="1"/>
    <d v="2025-12-03T00:00:00"/>
    <n v="212"/>
    <s v="MOMO"/>
    <m/>
    <m/>
    <d v="2026-02-20T00:00:00"/>
    <m/>
    <n v="212"/>
    <n v="1"/>
    <n v="1"/>
  </r>
  <r>
    <s v="小熊"/>
    <s v="怦怦！怦怦！聽聽身體的祕密：打開耳朵，探索人體的構造和運作機制"/>
    <x v="0"/>
    <d v="2025-11-25T00:00:00"/>
    <n v="222.72727272727272"/>
    <s v="讀共"/>
    <m/>
    <m/>
    <m/>
    <m/>
    <n v="222.72727272727272"/>
    <s v=""/>
    <n v="1"/>
  </r>
  <r>
    <s v="小熊"/>
    <s v="工作細胞繪本1"/>
    <x v="1"/>
    <d v="2025-09-23T00:00:00"/>
    <n v="236"/>
    <s v="MOMO"/>
    <m/>
    <m/>
    <d v="2025-09-29T00:00:00"/>
    <m/>
    <n v="236"/>
    <n v="1"/>
    <n v="1"/>
  </r>
  <r>
    <s v="小熊"/>
    <s v="工作細胞繪本2"/>
    <x v="1"/>
    <d v="2025-09-23T00:00:00"/>
    <n v="236"/>
    <s v="MOMO"/>
    <m/>
    <m/>
    <d v="2025-09-29T00:00:00"/>
    <m/>
    <n v="236"/>
    <n v="1"/>
    <n v="1"/>
  </r>
  <r>
    <s v="小熊"/>
    <s v="工作細胞繪本3"/>
    <x v="1"/>
    <d v="2025-09-23T00:00:00"/>
    <n v="236"/>
    <s v="MOMO"/>
    <m/>
    <m/>
    <d v="2025-09-29T00:00:00"/>
    <m/>
    <n v="236"/>
    <n v="1"/>
    <n v="1"/>
  </r>
  <r>
    <s v="小熊"/>
    <s v="工作細胞繪本4"/>
    <x v="1"/>
    <d v="2025-09-23T00:00:00"/>
    <n v="236"/>
    <s v="MOMO"/>
    <m/>
    <m/>
    <d v="2025-09-29T00:00:00"/>
    <m/>
    <n v="236"/>
    <n v="1"/>
    <n v="1"/>
  </r>
  <r>
    <s v="小熊"/>
    <s v="工作細胞繪本5"/>
    <x v="1"/>
    <d v="2025-09-23T00:00:00"/>
    <n v="236"/>
    <s v="MOMO"/>
    <m/>
    <m/>
    <d v="2025-10-01T00:00:00"/>
    <m/>
    <n v="236"/>
    <n v="1"/>
    <n v="1"/>
  </r>
  <r>
    <s v="小熊"/>
    <s v="工作細胞繪本6"/>
    <x v="1"/>
    <d v="2025-11-01T00:00:00"/>
    <n v="206"/>
    <s v="MOMO"/>
    <m/>
    <m/>
    <d v="2025-11-04T00:00:00"/>
    <s v="雙11"/>
    <n v="206"/>
    <n v="1"/>
    <n v="1"/>
  </r>
  <r>
    <s v="小熊"/>
    <s v="半神鈴音丸1"/>
    <x v="0"/>
    <d v="2025-05-15T00:00:00"/>
    <n v="182.85714285714286"/>
    <s v="MOMO"/>
    <m/>
    <m/>
    <m/>
    <m/>
    <n v="182.85714285714286"/>
    <s v=""/>
    <n v="1"/>
  </r>
  <r>
    <s v="小熊"/>
    <s v="半神鈴音丸2"/>
    <x v="0"/>
    <d v="2025-05-15T00:00:00"/>
    <n v="182.85714285714286"/>
    <s v="MOMO"/>
    <m/>
    <m/>
    <m/>
    <m/>
    <n v="182.85714285714286"/>
    <s v=""/>
    <n v="1"/>
  </r>
  <r>
    <s v="小熊"/>
    <s v="半神鈴音丸3"/>
    <x v="0"/>
    <d v="2025-05-15T00:00:00"/>
    <n v="182.85714285714286"/>
    <s v="MOMO"/>
    <m/>
    <m/>
    <m/>
    <m/>
    <n v="182.85714285714286"/>
    <s v=""/>
    <n v="1"/>
  </r>
  <r>
    <s v="小熊"/>
    <s v="半神鈴音丸4"/>
    <x v="0"/>
    <d v="2025-05-15T00:00:00"/>
    <n v="182.85714285714286"/>
    <s v="MOMO"/>
    <m/>
    <m/>
    <m/>
    <m/>
    <n v="182.85714285714286"/>
    <s v=""/>
    <n v="1"/>
  </r>
  <r>
    <s v="小熊"/>
    <s v="半神鈴音丸5"/>
    <x v="0"/>
    <d v="2025-05-15T00:00:00"/>
    <n v="182.85714285714286"/>
    <s v="MOMO"/>
    <m/>
    <m/>
    <m/>
    <m/>
    <n v="182.85714285714286"/>
    <s v=""/>
    <n v="1"/>
  </r>
  <r>
    <s v="小熊"/>
    <s v="半神鈴音丸6"/>
    <x v="0"/>
    <d v="2025-05-15T00:00:00"/>
    <n v="182.85714285714286"/>
    <s v="MOMO"/>
    <m/>
    <m/>
    <m/>
    <m/>
    <n v="182.85714285714286"/>
    <s v=""/>
    <n v="1"/>
  </r>
  <r>
    <s v="小熊"/>
    <s v="半神鈴音丸7"/>
    <x v="0"/>
    <d v="2025-05-15T00:00:00"/>
    <n v="182.85714285714286"/>
    <s v="MOMO"/>
    <m/>
    <m/>
    <m/>
    <m/>
    <n v="182.85714285714286"/>
    <s v=""/>
    <n v="1"/>
  </r>
  <r>
    <s v="小熊"/>
    <s v="汽水偵探1"/>
    <x v="1"/>
    <d v="2025-04-19T00:00:00"/>
    <n v="207.8"/>
    <s v="MOMO"/>
    <n v="-204"/>
    <d v="2026-01-01T00:00:00"/>
    <d v="2025-12-09T00:00:00"/>
    <m/>
    <n v="3.8000000000000114"/>
    <n v="1"/>
    <n v="1"/>
  </r>
  <r>
    <s v="小熊"/>
    <s v="汽水偵探2"/>
    <x v="1"/>
    <d v="2025-04-19T00:00:00"/>
    <n v="207.8"/>
    <s v="MOMO"/>
    <n v="-204"/>
    <d v="2026-01-01T00:00:00"/>
    <d v="2025-12-12T00:00:00"/>
    <m/>
    <n v="3.8000000000000114"/>
    <n v="1"/>
    <n v="1"/>
  </r>
  <r>
    <s v="小熊"/>
    <s v="汽水偵探3"/>
    <x v="1"/>
    <d v="2025-04-19T00:00:00"/>
    <n v="207.8"/>
    <s v="MOMO"/>
    <n v="-204"/>
    <d v="2026-01-01T00:00:00"/>
    <d v="2025-12-11T00:00:00"/>
    <m/>
    <n v="3.8000000000000114"/>
    <n v="1"/>
    <n v="1"/>
  </r>
  <r>
    <s v="小熊"/>
    <s v="汽水偵探4"/>
    <x v="1"/>
    <d v="2025-04-19T00:00:00"/>
    <n v="207.8"/>
    <s v="MOMO"/>
    <n v="-204"/>
    <d v="2026-01-01T00:00:00"/>
    <d v="2025-12-08T00:00:00"/>
    <m/>
    <n v="3.8000000000000114"/>
    <n v="1"/>
    <n v="1"/>
  </r>
  <r>
    <s v="小熊"/>
    <s v="汽水偵探5"/>
    <x v="1"/>
    <d v="2025-04-19T00:00:00"/>
    <n v="207.8"/>
    <s v="MOMO"/>
    <n v="-204"/>
    <d v="2026-01-01T00:00:00"/>
    <d v="2025-12-13T00:00:00"/>
    <m/>
    <n v="3.8000000000000114"/>
    <n v="1"/>
    <n v="1"/>
  </r>
  <r>
    <s v="木馬文化"/>
    <s v="荒島食驗家1-過貓泡麵"/>
    <x v="1"/>
    <d v="2025-10-17T00:00:00"/>
    <n v="194"/>
    <s v="MOMO"/>
    <m/>
    <m/>
    <d v="2025-10-26T00:00:00"/>
    <m/>
    <n v="194"/>
    <n v="1"/>
    <n v="1"/>
  </r>
  <r>
    <s v="木馬文化"/>
    <s v="荒島食驗家2-野薑花煮魚"/>
    <x v="1"/>
    <d v="2025-10-18T00:00:00"/>
    <n v="194"/>
    <s v="MOMO"/>
    <m/>
    <m/>
    <d v="2025-10-29T00:00:00"/>
    <m/>
    <n v="194"/>
    <n v="1"/>
    <n v="1"/>
  </r>
  <r>
    <s v="木馬文化"/>
    <s v="荒島食驗家3-檸檬牡蠣炊飯"/>
    <x v="1"/>
    <d v="2025-10-19T00:00:00"/>
    <n v="194"/>
    <s v="MOMO"/>
    <m/>
    <m/>
    <d v="2025-11-02T00:00:00"/>
    <m/>
    <n v="194"/>
    <n v="1"/>
    <n v="1"/>
  </r>
  <r>
    <s v="小天下"/>
    <s v="梅子老師這一班1"/>
    <x v="0"/>
    <d v="2025-12-01T00:00:00"/>
    <n v="177"/>
    <s v="MOMO"/>
    <m/>
    <m/>
    <m/>
    <m/>
    <n v="177"/>
    <s v=""/>
    <n v="1"/>
  </r>
  <r>
    <s v="小天下"/>
    <s v="梅子老師這一班2"/>
    <x v="0"/>
    <d v="2025-12-01T00:00:00"/>
    <n v="177"/>
    <s v="MOMO"/>
    <m/>
    <m/>
    <m/>
    <m/>
    <n v="177"/>
    <s v=""/>
    <n v="1"/>
  </r>
  <r>
    <s v="小天下"/>
    <s v="梅子老師這一班3"/>
    <x v="0"/>
    <d v="2025-12-01T00:00:00"/>
    <n v="177"/>
    <s v="MOMO"/>
    <m/>
    <m/>
    <m/>
    <m/>
    <n v="177"/>
    <s v=""/>
    <n v="1"/>
  </r>
  <r>
    <s v="小天下"/>
    <s v="梅子老師這一班4"/>
    <x v="0"/>
    <d v="2025-12-01T00:00:00"/>
    <n v="177"/>
    <s v="MOMO"/>
    <m/>
    <m/>
    <m/>
    <m/>
    <n v="177"/>
    <s v=""/>
    <n v="1"/>
  </r>
  <r>
    <s v="小天下"/>
    <s v="梅子老師這一班5-什麼？老師不教了！"/>
    <x v="1"/>
    <d v="2025-12-01T00:00:00"/>
    <n v="177"/>
    <s v="MOMO"/>
    <m/>
    <m/>
    <d v="2026-03-15T00:00:00"/>
    <m/>
    <n v="177"/>
    <n v="1"/>
    <n v="1"/>
  </r>
  <r>
    <s v="小天下"/>
    <s v="梅子老師這一班6"/>
    <x v="0"/>
    <d v="2025-12-01T00:00:00"/>
    <n v="177"/>
    <s v="MOMO"/>
    <m/>
    <m/>
    <m/>
    <m/>
    <n v="177"/>
    <s v=""/>
    <n v="1"/>
  </r>
  <r>
    <s v="小天下"/>
    <s v="梅子老師這一班7"/>
    <x v="0"/>
    <d v="2025-12-01T00:00:00"/>
    <n v="177"/>
    <s v="MOMO"/>
    <m/>
    <m/>
    <m/>
    <m/>
    <n v="177"/>
    <s v=""/>
    <n v="1"/>
  </r>
  <r>
    <s v="小天下"/>
    <s v="小小科學人：100人體大發現"/>
    <x v="0"/>
    <d v="2025-10-07T00:00:00"/>
    <n v="365"/>
    <s v="博客來"/>
    <m/>
    <m/>
    <m/>
    <m/>
    <n v="365"/>
    <s v=""/>
    <n v="1"/>
  </r>
  <r>
    <s v="小天下"/>
    <s v="小小科學人：100食物大發現"/>
    <x v="0"/>
    <d v="2025-10-07T00:00:00"/>
    <n v="302"/>
    <s v="博客來"/>
    <m/>
    <m/>
    <m/>
    <m/>
    <n v="302"/>
    <s v=""/>
    <n v="1"/>
  </r>
  <r>
    <s v="小天下"/>
    <s v="情緒遊樂園"/>
    <x v="2"/>
    <d v="2024-11-11T00:00:00"/>
    <n v="193.85714285714286"/>
    <s v="MOMO"/>
    <n v="-183.6057142857143"/>
    <d v="2025-11-29T00:00:00"/>
    <m/>
    <m/>
    <n v="10.251428571428562"/>
    <n v="0"/>
    <n v="1"/>
  </r>
  <r>
    <s v="小天下"/>
    <s v="安心國小1"/>
    <x v="1"/>
    <d v="2024-11-11T00:00:00"/>
    <n v="193.85714285714286"/>
    <s v="MOMO"/>
    <n v="-183.6057142857143"/>
    <d v="2025-11-29T00:00:00"/>
    <m/>
    <m/>
    <n v="10.251428571428562"/>
    <n v="1"/>
    <n v="1"/>
  </r>
  <r>
    <s v="小天下"/>
    <s v="安心國小2"/>
    <x v="1"/>
    <d v="2024-11-11T00:00:00"/>
    <n v="193.85714285714286"/>
    <s v="MOMO"/>
    <n v="-183.6057142857143"/>
    <d v="2025-11-29T00:00:00"/>
    <m/>
    <m/>
    <n v="10.251428571428562"/>
    <n v="1"/>
    <n v="1"/>
  </r>
  <r>
    <s v="小天下"/>
    <s v="安心國小3"/>
    <x v="1"/>
    <d v="2024-11-11T00:00:00"/>
    <n v="193.85714285714286"/>
    <s v="MOMO"/>
    <n v="-183.6057142857143"/>
    <d v="2025-11-29T00:00:00"/>
    <m/>
    <m/>
    <n v="10.251428571428562"/>
    <n v="1"/>
    <n v="1"/>
  </r>
  <r>
    <s v="小天下"/>
    <s v="安心國小4"/>
    <x v="1"/>
    <d v="2024-11-11T00:00:00"/>
    <n v="193.85714285714286"/>
    <s v="MOMO"/>
    <n v="-183.6057142857143"/>
    <d v="2025-11-29T00:00:00"/>
    <m/>
    <m/>
    <n v="10.251428571428562"/>
    <n v="1"/>
    <n v="1"/>
  </r>
  <r>
    <s v="小天下"/>
    <s v="安心國小5"/>
    <x v="1"/>
    <d v="2024-11-11T00:00:00"/>
    <n v="193.85714285714286"/>
    <s v="MOMO"/>
    <n v="-183.6057142857143"/>
    <d v="2025-11-29T00:00:00"/>
    <m/>
    <m/>
    <n v="10.251428571428562"/>
    <n v="1"/>
    <n v="1"/>
  </r>
  <r>
    <s v="小天下"/>
    <s v="安心國小6"/>
    <x v="1"/>
    <d v="2024-11-11T00:00:00"/>
    <n v="193.85714285714286"/>
    <s v="MOMO"/>
    <n v="-183.6057142857143"/>
    <d v="2025-11-29T00:00:00"/>
    <m/>
    <m/>
    <n v="10.251428571428562"/>
    <n v="1"/>
    <n v="1"/>
  </r>
  <r>
    <s v="小天下"/>
    <s v="安心國小7"/>
    <x v="1"/>
    <d v="2025-04-07T00:00:00"/>
    <n v="252"/>
    <s v="博客來"/>
    <n v="-208.75"/>
    <d v="2026-01-06T00:00:00"/>
    <m/>
    <m/>
    <n v="43.25"/>
    <n v="1"/>
    <n v="1"/>
  </r>
  <r>
    <s v="小天下"/>
    <s v="安心國小8"/>
    <x v="1"/>
    <d v="2025-04-07T00:00:00"/>
    <n v="252"/>
    <s v="博客來"/>
    <n v="-208.75"/>
    <d v="2026-01-06T00:00:00"/>
    <m/>
    <m/>
    <n v="43.25"/>
    <n v="1"/>
    <n v="1"/>
  </r>
  <r>
    <s v="小天下"/>
    <s v="安心國小9"/>
    <x v="1"/>
    <d v="2025-04-07T00:00:00"/>
    <n v="252"/>
    <s v="博客來"/>
    <n v="-208.75"/>
    <d v="2026-01-06T00:00:00"/>
    <m/>
    <m/>
    <n v="43.25"/>
    <n v="1"/>
    <n v="1"/>
  </r>
  <r>
    <s v="小天下"/>
    <s v="安心國小10"/>
    <x v="1"/>
    <d v="2025-04-07T00:00:00"/>
    <n v="252"/>
    <s v="博客來"/>
    <n v="-208.75"/>
    <d v="2026-01-06T00:00:00"/>
    <m/>
    <m/>
    <n v="43.25"/>
    <n v="1"/>
    <n v="1"/>
  </r>
  <r>
    <s v="小天下"/>
    <s v="安心國小11"/>
    <x v="1"/>
    <d v="2025-10-07T00:00:00"/>
    <n v="227.5"/>
    <s v="博客來"/>
    <n v="-220.5"/>
    <d v="2025-12-19T00:00:00"/>
    <d v="2025-10-24T00:00:00"/>
    <m/>
    <n v="7"/>
    <n v="1"/>
    <n v="1"/>
  </r>
  <r>
    <s v="小天下"/>
    <s v="安心國小12"/>
    <x v="1"/>
    <d v="2025-10-07T00:00:00"/>
    <n v="227.5"/>
    <s v="博客來"/>
    <n v="-220.5"/>
    <d v="2025-12-19T00:00:00"/>
    <d v="2025-10-25T00:00:00"/>
    <m/>
    <n v="7"/>
    <n v="1"/>
    <n v="1"/>
  </r>
  <r>
    <s v="國語日報"/>
    <s v="三字經小學堂1：古人也有煩惱嗎？"/>
    <x v="0"/>
    <d v="2025-09-30T00:00:00"/>
    <n v="210"/>
    <s v="MOMO"/>
    <m/>
    <m/>
    <m/>
    <m/>
    <n v="210"/>
    <s v=""/>
    <n v="1"/>
  </r>
  <r>
    <s v="國語日報"/>
    <s v="三字經小學堂2：古人也有煩惱嗎？"/>
    <x v="0"/>
    <d v="2025-09-30T00:00:00"/>
    <n v="210"/>
    <s v="MOMO"/>
    <m/>
    <m/>
    <m/>
    <m/>
    <n v="210"/>
    <s v=""/>
    <n v="1"/>
  </r>
  <r>
    <s v="國語日報"/>
    <s v="三字經小學堂3：古人也有煩惱嗎？"/>
    <x v="0"/>
    <d v="2025-09-30T00:00:00"/>
    <n v="204"/>
    <s v="MOMO"/>
    <m/>
    <m/>
    <m/>
    <m/>
    <n v="204"/>
    <s v=""/>
    <n v="1"/>
  </r>
  <r>
    <s v="小兵"/>
    <s v="香腸班長妙老師1"/>
    <x v="1"/>
    <d v="2025-09-30T00:00:00"/>
    <n v="198"/>
    <s v="團書"/>
    <m/>
    <m/>
    <d v="2025-09-28T00:00:00"/>
    <s v="2026/2/1二刷"/>
    <n v="198"/>
    <n v="1"/>
    <n v="1"/>
  </r>
  <r>
    <s v="小兵"/>
    <s v="香腸班長妙老師2"/>
    <x v="1"/>
    <d v="2025-09-30T00:00:00"/>
    <n v="198"/>
    <s v="團書"/>
    <m/>
    <m/>
    <d v="2025-10-14T00:00:00"/>
    <s v="2026/4/14二刷"/>
    <n v="198"/>
    <n v="1"/>
    <n v="1"/>
  </r>
  <r>
    <s v="小兵"/>
    <s v="香腸班長妙老師3"/>
    <x v="1"/>
    <d v="2025-09-30T00:00:00"/>
    <n v="198"/>
    <s v="團書"/>
    <m/>
    <m/>
    <d v="2025-10-17T00:00:00"/>
    <m/>
    <n v="198"/>
    <n v="1"/>
    <n v="1"/>
  </r>
  <r>
    <s v="小兵"/>
    <s v="香腸班長妙老師4"/>
    <x v="1"/>
    <d v="2025-09-30T00:00:00"/>
    <n v="198"/>
    <s v="團書"/>
    <m/>
    <m/>
    <d v="2025-10-21T00:00:00"/>
    <m/>
    <n v="198"/>
    <n v="1"/>
    <n v="1"/>
  </r>
  <r>
    <s v="小兵"/>
    <s v="小四愛作怪1"/>
    <x v="1"/>
    <d v="2025-09-30T00:00:00"/>
    <n v="184.83333333333334"/>
    <s v="團書"/>
    <m/>
    <m/>
    <d v="2026-01-18T00:00:00"/>
    <m/>
    <n v="184.83333333333334"/>
    <n v="1"/>
    <n v="1"/>
  </r>
  <r>
    <s v="小兵"/>
    <s v="小四愛作怪2"/>
    <x v="1"/>
    <d v="2025-09-30T00:00:00"/>
    <n v="184.83333333333334"/>
    <s v="團書"/>
    <m/>
    <m/>
    <d v="2026-02-09T00:00:00"/>
    <m/>
    <n v="184.83333333333334"/>
    <n v="1"/>
    <n v="1"/>
  </r>
  <r>
    <s v="小兵"/>
    <s v="小四愛作怪3"/>
    <x v="0"/>
    <d v="2025-09-30T00:00:00"/>
    <n v="184.83333333333334"/>
    <s v="團書"/>
    <m/>
    <m/>
    <m/>
    <m/>
    <n v="184.83333333333334"/>
    <s v=""/>
    <n v="1"/>
  </r>
  <r>
    <s v="小兵"/>
    <s v="小四愛作怪4"/>
    <x v="0"/>
    <d v="2025-09-30T00:00:00"/>
    <n v="184.83333333333334"/>
    <s v="團書"/>
    <m/>
    <m/>
    <m/>
    <m/>
    <n v="184.83333333333334"/>
    <s v=""/>
    <n v="1"/>
  </r>
  <r>
    <s v="小兵"/>
    <s v="小四愛作怪5"/>
    <x v="0"/>
    <d v="2025-09-30T00:00:00"/>
    <n v="184.83333333333334"/>
    <s v="團書"/>
    <m/>
    <m/>
    <m/>
    <m/>
    <n v="184.83333333333334"/>
    <s v=""/>
    <n v="1"/>
  </r>
  <r>
    <s v="小兵"/>
    <s v="小四愛作怪6"/>
    <x v="0"/>
    <d v="2025-09-30T00:00:00"/>
    <n v="184.83333333333334"/>
    <s v="團書"/>
    <m/>
    <m/>
    <m/>
    <m/>
    <n v="184.83333333333334"/>
    <s v=""/>
    <n v="1"/>
  </r>
  <r>
    <s v="小兵"/>
    <s v="草莓心事三部曲1"/>
    <x v="0"/>
    <d v="2025-09-30T00:00:00"/>
    <n v="184.66666666666666"/>
    <s v="團書"/>
    <m/>
    <m/>
    <m/>
    <m/>
    <n v="184.66666666666666"/>
    <s v=""/>
    <n v="1"/>
  </r>
  <r>
    <s v="小兵"/>
    <s v="草莓心事三部曲2"/>
    <x v="0"/>
    <d v="2025-09-30T00:00:00"/>
    <n v="184.66666666666666"/>
    <s v="團書"/>
    <m/>
    <m/>
    <m/>
    <m/>
    <n v="184.66666666666666"/>
    <s v=""/>
    <n v="1"/>
  </r>
  <r>
    <s v="小兵"/>
    <s v="草莓心事三部曲3"/>
    <x v="0"/>
    <d v="2025-09-30T00:00:00"/>
    <n v="184.66666666666666"/>
    <s v="團書"/>
    <m/>
    <m/>
    <m/>
    <m/>
    <n v="184.66666666666666"/>
    <s v=""/>
    <n v="1"/>
  </r>
  <r>
    <s v="小樹"/>
    <s v="大豐國小族球隊1"/>
    <x v="0"/>
    <d v="2025-07-29T00:00:00"/>
    <n v="270"/>
    <s v="團書"/>
    <m/>
    <m/>
    <m/>
    <m/>
    <n v="270"/>
    <s v=""/>
    <n v="1"/>
  </r>
  <r>
    <s v="野人"/>
    <s v="萌漫大話成語王1"/>
    <x v="0"/>
    <d v="2025-07-29T00:00:00"/>
    <n v="291"/>
    <s v="團書"/>
    <m/>
    <m/>
    <m/>
    <m/>
    <n v="291"/>
    <s v=""/>
    <n v="1"/>
  </r>
  <r>
    <s v="野人"/>
    <s v="穿越古代當神探1"/>
    <x v="0"/>
    <d v="2025-07-29T00:00:00"/>
    <n v="247.5"/>
    <s v="團書"/>
    <m/>
    <m/>
    <m/>
    <m/>
    <n v="247.5"/>
    <s v=""/>
    <n v="1"/>
  </r>
  <r>
    <s v="野人"/>
    <s v="穿越古代當神探2"/>
    <x v="0"/>
    <d v="2025-07-29T00:00:00"/>
    <n v="247.5"/>
    <s v="團書"/>
    <m/>
    <m/>
    <m/>
    <m/>
    <n v="247.5"/>
    <s v=""/>
    <n v="1"/>
  </r>
  <r>
    <s v="野人"/>
    <s v="穿越古代當神探3"/>
    <x v="0"/>
    <d v="2025-07-29T00:00:00"/>
    <n v="247.5"/>
    <s v="團書"/>
    <m/>
    <m/>
    <m/>
    <m/>
    <n v="247.5"/>
    <s v=""/>
    <n v="1"/>
  </r>
  <r>
    <s v="野人"/>
    <s v="穿越古代當神探4"/>
    <x v="0"/>
    <d v="2025-07-29T00:00:00"/>
    <n v="247.5"/>
    <s v="團書"/>
    <m/>
    <m/>
    <m/>
    <m/>
    <n v="247.5"/>
    <s v=""/>
    <n v="1"/>
  </r>
  <r>
    <s v="時報"/>
    <s v="小王子立體書"/>
    <x v="0"/>
    <d v="2025-07-24T00:00:00"/>
    <n v="1393"/>
    <s v="團書"/>
    <m/>
    <m/>
    <m/>
    <m/>
    <n v="1393"/>
    <s v=""/>
    <n v="1"/>
  </r>
  <r>
    <s v="時報"/>
    <s v="法布爾昆蟲記立體書"/>
    <x v="0"/>
    <d v="2025-07-24T00:00:00"/>
    <n v="903"/>
    <s v="團書"/>
    <m/>
    <m/>
    <m/>
    <m/>
    <n v="903"/>
    <s v=""/>
    <n v="1"/>
  </r>
  <r>
    <s v="東雨"/>
    <s v="口袋神探-尖端科技篇3"/>
    <x v="0"/>
    <d v="2025-06-24T00:00:00"/>
    <n v="199"/>
    <s v="團書"/>
    <m/>
    <m/>
    <m/>
    <m/>
    <n v="199"/>
    <s v=""/>
    <n v="1"/>
  </r>
  <r>
    <s v="東雨"/>
    <s v="綠野仙蹤1-神秘的魔法師"/>
    <x v="1"/>
    <d v="2025-06-24T00:00:00"/>
    <n v="100"/>
    <s v="團書"/>
    <m/>
    <m/>
    <d v="2026-01-26T00:00:00"/>
    <m/>
    <n v="100"/>
    <n v="1"/>
    <n v="1"/>
  </r>
  <r>
    <s v="東雨"/>
    <s v="公平？不公平？教你獨立思考，如何判斷！"/>
    <x v="1"/>
    <d v="2025-06-24T00:00:00"/>
    <n v="100"/>
    <s v="團書"/>
    <n v="-163"/>
    <d v="2026-01-31T00:00:00"/>
    <d v="2025-12-21T00:00:00"/>
    <m/>
    <n v="-63"/>
    <n v="1"/>
    <n v="1"/>
  </r>
  <r>
    <s v="東雨"/>
    <s v="三分天下、十分搞笑的三國演義1"/>
    <x v="0"/>
    <d v="2025-06-24T00:00:00"/>
    <n v="225"/>
    <s v="團書"/>
    <m/>
    <m/>
    <m/>
    <m/>
    <n v="225"/>
    <s v=""/>
    <n v="1"/>
  </r>
  <r>
    <s v="東雨"/>
    <s v="三分天下、十分搞笑的三國演義2"/>
    <x v="0"/>
    <d v="2025-06-24T00:00:00"/>
    <n v="225"/>
    <s v="團書"/>
    <m/>
    <m/>
    <m/>
    <m/>
    <n v="225"/>
    <s v=""/>
    <n v="1"/>
  </r>
  <r>
    <s v="東雨"/>
    <s v="臭屁實習偵探1"/>
    <x v="1"/>
    <d v="2025-06-24T00:00:00"/>
    <n v="184.66666666666666"/>
    <s v="團書"/>
    <m/>
    <m/>
    <m/>
    <m/>
    <n v="184.66666666666666"/>
    <n v="1"/>
    <n v="1"/>
  </r>
  <r>
    <s v="東雨"/>
    <s v="臭屁實習偵探2"/>
    <x v="1"/>
    <d v="2025-06-24T00:00:00"/>
    <n v="184.66666666666666"/>
    <s v="團書"/>
    <m/>
    <m/>
    <d v="2025-09-14T00:00:00"/>
    <m/>
    <n v="184.66666666666666"/>
    <n v="1"/>
    <n v="1"/>
  </r>
  <r>
    <s v="東雨"/>
    <s v="臭屁實習偵探3"/>
    <x v="1"/>
    <d v="2025-06-24T00:00:00"/>
    <n v="184.66666666666666"/>
    <s v="團書"/>
    <m/>
    <m/>
    <d v="2025-10-04T00:00:00"/>
    <m/>
    <n v="184.66666666666666"/>
    <n v="1"/>
    <n v="1"/>
  </r>
  <r>
    <s v="東雨"/>
    <s v="歷史人物在我們班1"/>
    <x v="0"/>
    <d v="2025-06-24T00:00:00"/>
    <n v="200"/>
    <s v="團書"/>
    <m/>
    <m/>
    <m/>
    <m/>
    <n v="200"/>
    <s v=""/>
    <n v="1"/>
  </r>
  <r>
    <s v="東雨"/>
    <s v="歷史人物在我們班2"/>
    <x v="0"/>
    <d v="2025-06-24T00:00:00"/>
    <n v="200"/>
    <s v="團書"/>
    <m/>
    <m/>
    <m/>
    <m/>
    <n v="200"/>
    <s v=""/>
    <n v="1"/>
  </r>
  <r>
    <s v="東雨"/>
    <s v="歷史人物在我們班3"/>
    <x v="0"/>
    <d v="2025-06-24T00:00:00"/>
    <n v="200"/>
    <s v="團書"/>
    <m/>
    <m/>
    <m/>
    <m/>
    <n v="200"/>
    <s v=""/>
    <n v="1"/>
  </r>
  <r>
    <s v="東雨"/>
    <s v="歷史人物在我們班4"/>
    <x v="0"/>
    <d v="2025-06-24T00:00:00"/>
    <n v="200"/>
    <s v="團書"/>
    <m/>
    <m/>
    <m/>
    <m/>
    <n v="200"/>
    <s v=""/>
    <n v="1"/>
  </r>
  <r>
    <s v="東雨"/>
    <s v="歷史人物在我們班5"/>
    <x v="0"/>
    <d v="2025-06-24T00:00:00"/>
    <n v="200"/>
    <s v="團書"/>
    <m/>
    <m/>
    <m/>
    <m/>
    <n v="200"/>
    <s v=""/>
    <n v="1"/>
  </r>
  <r>
    <s v="東雨"/>
    <s v="7歲名偵探-小福爾摩斯1-遊樂園有鬼"/>
    <x v="1"/>
    <d v="2025-06-24T00:00:00"/>
    <n v="100"/>
    <s v="團書"/>
    <n v="-115.625"/>
    <d v="2025-11-29T00:00:00"/>
    <d v="2025-10-26T00:00:00"/>
    <m/>
    <n v="-15.625"/>
    <n v="1"/>
    <n v="1"/>
  </r>
  <r>
    <s v="東雨"/>
    <s v="寫給中小學生的工作圖鑑"/>
    <x v="0"/>
    <d v="2026-01-15T00:00:00"/>
    <n v="261"/>
    <s v="回頭書"/>
    <m/>
    <m/>
    <m/>
    <m/>
    <n v="261"/>
    <s v=""/>
    <n v="1"/>
  </r>
  <r>
    <s v="東雨"/>
    <s v="妖怪學園（1）：妖怪開學日"/>
    <x v="0"/>
    <d v="2026-01-15T00:00:00"/>
    <n v="144"/>
    <s v="回頭書"/>
    <m/>
    <m/>
    <m/>
    <m/>
    <n v="144"/>
    <s v=""/>
    <n v="1"/>
  </r>
  <r>
    <s v="東雨"/>
    <s v="妖怪學園（2）：放學後的神祕郵件"/>
    <x v="0"/>
    <d v="2026-01-15T00:00:00"/>
    <n v="144"/>
    <s v="回頭書"/>
    <m/>
    <m/>
    <m/>
    <m/>
    <n v="144"/>
    <s v=""/>
    <n v="1"/>
  </r>
  <r>
    <s v="東雨"/>
    <s v="出發吧！科學露營車1 洞穴地質與生態"/>
    <x v="0"/>
    <d v="2026-01-15T00:00:00"/>
    <n v="180"/>
    <s v="回頭書"/>
    <m/>
    <m/>
    <m/>
    <m/>
    <n v="180"/>
    <s v=""/>
    <n v="1"/>
  </r>
  <r>
    <s v="東雨"/>
    <s v="圖解10歲就懂的AI入門"/>
    <x v="0"/>
    <d v="2026-01-15T00:00:00"/>
    <n v="171"/>
    <s v="回頭書"/>
    <m/>
    <m/>
    <m/>
    <m/>
    <n v="171"/>
    <s v=""/>
    <n v="1"/>
  </r>
  <r>
    <s v="東雨"/>
    <s v="超有趣!看漫畫學三國成語②:曹操統一北方.赤壁之戰"/>
    <x v="0"/>
    <d v="2026-01-15T00:00:00"/>
    <n v="171"/>
    <s v="回頭書"/>
    <m/>
    <m/>
    <m/>
    <m/>
    <n v="171"/>
    <s v=""/>
    <n v="1"/>
  </r>
  <r>
    <s v="東雨"/>
    <s v="超有趣！看漫畫學三國成語①：董卓亂政．群雄割據"/>
    <x v="0"/>
    <d v="2026-01-15T00:00:00"/>
    <n v="171"/>
    <s v="回頭書"/>
    <m/>
    <m/>
    <m/>
    <m/>
    <n v="171"/>
    <s v=""/>
    <n v="1"/>
  </r>
  <r>
    <s v="三采"/>
    <s v="只是開玩笑，竟然變被告1"/>
    <x v="0"/>
    <d v="2025-12-18T00:00:00"/>
    <n v="235"/>
    <s v="蝦皮"/>
    <m/>
    <m/>
    <m/>
    <m/>
    <n v="235"/>
    <s v=""/>
    <n v="1"/>
  </r>
  <r>
    <s v="三采"/>
    <s v="只是開玩笑，竟然變被告2"/>
    <x v="0"/>
    <d v="2025-12-18T00:00:00"/>
    <n v="235"/>
    <s v="蝦皮"/>
    <m/>
    <m/>
    <m/>
    <m/>
    <n v="235"/>
    <s v=""/>
    <n v="1"/>
  </r>
  <r>
    <s v="三采"/>
    <s v="只是開玩笑，竟然變被告3"/>
    <x v="0"/>
    <d v="2025-12-18T00:00:00"/>
    <n v="235"/>
    <s v="蝦皮"/>
    <m/>
    <m/>
    <m/>
    <m/>
    <n v="235"/>
    <s v=""/>
    <n v="1"/>
  </r>
  <r>
    <s v="三采"/>
    <s v="只是開玩笑，竟然變被告4"/>
    <x v="0"/>
    <d v="2025-12-18T00:00:00"/>
    <n v="235"/>
    <s v="蝦皮"/>
    <m/>
    <m/>
    <m/>
    <m/>
    <n v="235"/>
    <s v=""/>
    <n v="1"/>
  </r>
  <r>
    <s v="三采"/>
    <s v="尋寶記1"/>
    <x v="0"/>
    <d v="2025-11-01T00:00:00"/>
    <n v="169.91428571428571"/>
    <s v="MOMO"/>
    <m/>
    <m/>
    <m/>
    <s v="雙11"/>
    <n v="169.91428571428571"/>
    <s v=""/>
    <n v="1"/>
  </r>
  <r>
    <s v="三采"/>
    <s v="尋寶記2"/>
    <x v="0"/>
    <d v="2025-11-01T00:00:00"/>
    <n v="169.91428571428571"/>
    <s v="MOMO"/>
    <m/>
    <m/>
    <m/>
    <s v="雙11"/>
    <n v="169.91428571428571"/>
    <s v=""/>
    <n v="1"/>
  </r>
  <r>
    <s v="三采"/>
    <s v="尋寶記3"/>
    <x v="0"/>
    <d v="2025-11-01T00:00:00"/>
    <n v="169.91428571428571"/>
    <s v="MOMO"/>
    <m/>
    <m/>
    <m/>
    <s v="雙11"/>
    <n v="169.91428571428571"/>
    <s v=""/>
    <n v="1"/>
  </r>
  <r>
    <s v="三采"/>
    <s v="尋寶記4"/>
    <x v="0"/>
    <d v="2025-11-01T00:00:00"/>
    <n v="169.91428571428571"/>
    <s v="MOMO"/>
    <m/>
    <m/>
    <m/>
    <s v="雙11"/>
    <n v="169.91428571428571"/>
    <s v=""/>
    <n v="1"/>
  </r>
  <r>
    <s v="三采"/>
    <s v="尋寶記5"/>
    <x v="0"/>
    <d v="2025-11-01T00:00:00"/>
    <n v="169.91428571428571"/>
    <s v="MOMO"/>
    <m/>
    <m/>
    <m/>
    <s v="雙11"/>
    <n v="169.91428571428571"/>
    <s v=""/>
    <n v="1"/>
  </r>
  <r>
    <s v="三采"/>
    <s v="尋寶記6-美國"/>
    <x v="1"/>
    <d v="2025-11-01T00:00:00"/>
    <n v="169.91428571428571"/>
    <s v="MOMO"/>
    <m/>
    <m/>
    <d v="2025-11-02T00:00:00"/>
    <s v="雙11"/>
    <n v="169.91428571428571"/>
    <n v="1"/>
    <n v="1"/>
  </r>
  <r>
    <s v="三采"/>
    <s v="尋寶記7"/>
    <x v="0"/>
    <d v="2025-11-01T00:00:00"/>
    <n v="169.91428571428571"/>
    <s v="MOMO"/>
    <m/>
    <m/>
    <m/>
    <s v="雙11"/>
    <n v="169.91428571428571"/>
    <s v=""/>
    <n v="1"/>
  </r>
  <r>
    <s v="三采"/>
    <s v="尋寶記8"/>
    <x v="0"/>
    <d v="2025-11-01T00:00:00"/>
    <n v="169.91428571428571"/>
    <s v="MOMO"/>
    <m/>
    <m/>
    <m/>
    <s v="雙11"/>
    <n v="169.91428571428571"/>
    <s v=""/>
    <n v="1"/>
  </r>
  <r>
    <s v="三采"/>
    <s v="尋寶記9"/>
    <x v="0"/>
    <d v="2025-11-01T00:00:00"/>
    <n v="169.91428571428571"/>
    <s v="MOMO"/>
    <m/>
    <m/>
    <m/>
    <s v="雙11"/>
    <n v="169.91428571428571"/>
    <s v=""/>
    <n v="1"/>
  </r>
  <r>
    <s v="三采"/>
    <s v="尋寶記10"/>
    <x v="0"/>
    <d v="2025-11-01T00:00:00"/>
    <n v="169.91428571428571"/>
    <s v="MOMO"/>
    <m/>
    <m/>
    <m/>
    <s v="雙11"/>
    <n v="169.91428571428571"/>
    <s v=""/>
    <n v="1"/>
  </r>
  <r>
    <s v="三采"/>
    <s v="尋寶記11"/>
    <x v="0"/>
    <d v="2025-11-01T00:00:00"/>
    <n v="169.91428571428571"/>
    <s v="MOMO"/>
    <m/>
    <m/>
    <m/>
    <s v="雙11"/>
    <n v="169.91428571428571"/>
    <s v=""/>
    <n v="1"/>
  </r>
  <r>
    <s v="三采"/>
    <s v="尋寶記12"/>
    <x v="0"/>
    <d v="2025-11-01T00:00:00"/>
    <n v="169.91428571428571"/>
    <s v="MOMO"/>
    <m/>
    <m/>
    <m/>
    <s v="雙11"/>
    <n v="169.91428571428571"/>
    <s v=""/>
    <n v="1"/>
  </r>
  <r>
    <s v="三采"/>
    <s v="尋寶記13"/>
    <x v="0"/>
    <d v="2025-11-01T00:00:00"/>
    <n v="169.91428571428571"/>
    <s v="MOMO"/>
    <m/>
    <m/>
    <m/>
    <s v="雙11"/>
    <n v="169.91428571428571"/>
    <s v=""/>
    <n v="1"/>
  </r>
  <r>
    <s v="三采"/>
    <s v="尋寶記14"/>
    <x v="0"/>
    <d v="2025-11-01T00:00:00"/>
    <n v="169.91428571428571"/>
    <s v="MOMO"/>
    <m/>
    <m/>
    <m/>
    <s v="雙11"/>
    <n v="169.91428571428571"/>
    <s v=""/>
    <n v="1"/>
  </r>
  <r>
    <s v="三采"/>
    <s v="尋寶記15"/>
    <x v="0"/>
    <d v="2025-11-01T00:00:00"/>
    <n v="169.91428571428571"/>
    <s v="MOMO"/>
    <m/>
    <m/>
    <m/>
    <s v="雙11"/>
    <n v="169.91428571428571"/>
    <s v=""/>
    <n v="1"/>
  </r>
  <r>
    <s v="三采"/>
    <s v="尋寶記16"/>
    <x v="0"/>
    <d v="2025-11-01T00:00:00"/>
    <n v="169.91428571428571"/>
    <s v="MOMO"/>
    <m/>
    <m/>
    <m/>
    <s v="雙11"/>
    <n v="169.91428571428571"/>
    <s v=""/>
    <n v="1"/>
  </r>
  <r>
    <s v="三采"/>
    <s v="尋寶記17"/>
    <x v="0"/>
    <d v="2025-11-01T00:00:00"/>
    <n v="169.91428571428571"/>
    <s v="MOMO"/>
    <m/>
    <m/>
    <m/>
    <s v="雙11"/>
    <n v="169.91428571428571"/>
    <s v=""/>
    <n v="1"/>
  </r>
  <r>
    <s v="三采"/>
    <s v="尋寶記18"/>
    <x v="0"/>
    <d v="2025-11-01T00:00:00"/>
    <n v="169.91428571428571"/>
    <s v="MOMO"/>
    <m/>
    <m/>
    <m/>
    <s v="雙11"/>
    <n v="169.91428571428571"/>
    <s v=""/>
    <n v="1"/>
  </r>
  <r>
    <s v="三采"/>
    <s v="尋寶記19"/>
    <x v="0"/>
    <d v="2025-11-01T00:00:00"/>
    <n v="169.91428571428571"/>
    <s v="MOMO"/>
    <m/>
    <m/>
    <m/>
    <s v="雙11"/>
    <n v="169.91428571428571"/>
    <s v=""/>
    <n v="1"/>
  </r>
  <r>
    <s v="三采"/>
    <s v="尋寶記20"/>
    <x v="0"/>
    <d v="2025-11-01T00:00:00"/>
    <n v="169.91428571428571"/>
    <s v="MOMO"/>
    <m/>
    <m/>
    <m/>
    <s v="雙11"/>
    <n v="169.91428571428571"/>
    <s v=""/>
    <n v="1"/>
  </r>
  <r>
    <s v="三采"/>
    <s v="尋寶記21"/>
    <x v="0"/>
    <d v="2025-11-01T00:00:00"/>
    <n v="169.91428571428571"/>
    <s v="MOMO"/>
    <m/>
    <m/>
    <m/>
    <s v="雙11"/>
    <n v="169.91428571428571"/>
    <s v=""/>
    <n v="1"/>
  </r>
  <r>
    <s v="三采"/>
    <s v="尋寶記22"/>
    <x v="0"/>
    <d v="2025-11-01T00:00:00"/>
    <n v="169.91428571428571"/>
    <s v="MOMO"/>
    <m/>
    <m/>
    <m/>
    <s v="雙11"/>
    <n v="169.91428571428571"/>
    <s v=""/>
    <n v="1"/>
  </r>
  <r>
    <s v="三采"/>
    <s v="尋寶記23"/>
    <x v="0"/>
    <d v="2025-11-01T00:00:00"/>
    <n v="169.91428571428571"/>
    <s v="MOMO"/>
    <m/>
    <m/>
    <m/>
    <s v="雙11"/>
    <n v="169.91428571428571"/>
    <s v=""/>
    <n v="1"/>
  </r>
  <r>
    <s v="三采"/>
    <s v="尋寶記24"/>
    <x v="0"/>
    <d v="2025-11-01T00:00:00"/>
    <n v="169.91428571428571"/>
    <s v="MOMO"/>
    <m/>
    <m/>
    <m/>
    <s v="雙11"/>
    <n v="169.91428571428571"/>
    <s v=""/>
    <n v="1"/>
  </r>
  <r>
    <s v="三采"/>
    <s v="尋寶記25"/>
    <x v="0"/>
    <d v="2025-11-01T00:00:00"/>
    <n v="169.91428571428571"/>
    <s v="MOMO"/>
    <m/>
    <m/>
    <m/>
    <s v="雙11"/>
    <n v="169.91428571428571"/>
    <s v=""/>
    <n v="1"/>
  </r>
  <r>
    <s v="三采"/>
    <s v="尋寶記26"/>
    <x v="0"/>
    <d v="2025-11-01T00:00:00"/>
    <n v="169.91428571428571"/>
    <s v="MOMO"/>
    <m/>
    <m/>
    <m/>
    <s v="雙11"/>
    <n v="169.91428571428571"/>
    <s v=""/>
    <n v="1"/>
  </r>
  <r>
    <s v="三采"/>
    <s v="尋寶記27"/>
    <x v="0"/>
    <d v="2025-11-01T00:00:00"/>
    <n v="169.91428571428571"/>
    <s v="MOMO"/>
    <m/>
    <m/>
    <m/>
    <s v="雙11"/>
    <n v="169.91428571428571"/>
    <s v=""/>
    <n v="1"/>
  </r>
  <r>
    <s v="三采"/>
    <s v="尋寶記28"/>
    <x v="0"/>
    <d v="2025-11-01T00:00:00"/>
    <n v="169.91428571428571"/>
    <s v="MOMO"/>
    <m/>
    <m/>
    <m/>
    <s v="雙11"/>
    <n v="169.91428571428571"/>
    <s v=""/>
    <n v="1"/>
  </r>
  <r>
    <s v="三采"/>
    <s v="尋寶記29"/>
    <x v="0"/>
    <d v="2025-11-01T00:00:00"/>
    <n v="169.91428571428571"/>
    <s v="MOMO"/>
    <m/>
    <m/>
    <m/>
    <s v="雙11"/>
    <n v="169.91428571428571"/>
    <s v=""/>
    <n v="1"/>
  </r>
  <r>
    <s v="三采"/>
    <s v="尋寶記30"/>
    <x v="0"/>
    <d v="2025-11-01T00:00:00"/>
    <n v="169.91428571428571"/>
    <s v="MOMO"/>
    <m/>
    <m/>
    <m/>
    <s v="雙11"/>
    <n v="169.91428571428571"/>
    <s v=""/>
    <n v="1"/>
  </r>
  <r>
    <s v="三采"/>
    <s v="尋寶記31"/>
    <x v="0"/>
    <d v="2025-11-01T00:00:00"/>
    <n v="169.91428571428571"/>
    <s v="MOMO"/>
    <m/>
    <m/>
    <m/>
    <s v="雙11"/>
    <n v="169.91428571428571"/>
    <s v=""/>
    <n v="1"/>
  </r>
  <r>
    <s v="三采"/>
    <s v="尋寶記32"/>
    <x v="0"/>
    <d v="2025-11-01T00:00:00"/>
    <n v="169.91428571428571"/>
    <s v="MOMO"/>
    <m/>
    <m/>
    <m/>
    <s v="雙11"/>
    <n v="169.91428571428571"/>
    <s v=""/>
    <n v="1"/>
  </r>
  <r>
    <s v="三采"/>
    <s v="尋寶記33"/>
    <x v="0"/>
    <d v="2025-11-01T00:00:00"/>
    <n v="169.91428571428571"/>
    <s v="MOMO"/>
    <m/>
    <m/>
    <m/>
    <s v="雙11"/>
    <n v="169.91428571428571"/>
    <s v=""/>
    <n v="1"/>
  </r>
  <r>
    <s v="三采"/>
    <s v="尋寶記34"/>
    <x v="0"/>
    <d v="2025-11-01T00:00:00"/>
    <n v="169.91428571428571"/>
    <s v="MOMO"/>
    <m/>
    <m/>
    <m/>
    <s v="雙11"/>
    <n v="169.91428571428571"/>
    <s v=""/>
    <n v="1"/>
  </r>
  <r>
    <s v="三采"/>
    <s v="尋寶記35"/>
    <x v="0"/>
    <d v="2025-11-01T00:00:00"/>
    <n v="169.91428571428571"/>
    <s v="MOMO"/>
    <m/>
    <m/>
    <m/>
    <s v="雙11"/>
    <n v="169.91428571428571"/>
    <s v=""/>
    <n v="1"/>
  </r>
  <r>
    <s v="三采"/>
    <s v="科學實驗王1-酸鹼中和"/>
    <x v="1"/>
    <d v="2025-11-01T00:00:00"/>
    <n v="165.2"/>
    <s v="MOMO"/>
    <m/>
    <m/>
    <d v="2025-11-20T00:00:00"/>
    <s v="雙11"/>
    <n v="165.2"/>
    <n v="1"/>
    <n v="1"/>
  </r>
  <r>
    <s v="三采"/>
    <s v="科學實驗王2-牛頓運動定律"/>
    <x v="1"/>
    <d v="2025-11-01T00:00:00"/>
    <n v="165.2"/>
    <s v="MOMO"/>
    <m/>
    <m/>
    <d v="2025-11-22T00:00:00"/>
    <s v="雙11"/>
    <n v="165.2"/>
    <n v="1"/>
    <n v="1"/>
  </r>
  <r>
    <s v="三采"/>
    <s v="科學實驗王3-光的折射與反射"/>
    <x v="1"/>
    <d v="2025-11-01T00:00:00"/>
    <n v="165.2"/>
    <s v="MOMO"/>
    <m/>
    <m/>
    <d v="2025-11-23T00:00:00"/>
    <s v="雙11"/>
    <n v="165.2"/>
    <n v="1"/>
    <n v="1"/>
  </r>
  <r>
    <s v="三采"/>
    <s v="科學實驗王4-光合作用與呼吸作用"/>
    <x v="1"/>
    <d v="2025-11-01T00:00:00"/>
    <n v="165.2"/>
    <s v="MOMO"/>
    <m/>
    <m/>
    <d v="2025-11-25T00:00:00"/>
    <s v="雙11"/>
    <n v="165.2"/>
    <n v="1"/>
    <n v="1"/>
  </r>
  <r>
    <s v="三采"/>
    <s v="科學實驗王5-電流與磁力"/>
    <x v="1"/>
    <d v="2025-11-01T00:00:00"/>
    <n v="165.2"/>
    <s v="MOMO"/>
    <m/>
    <m/>
    <d v="2025-11-26T00:00:00"/>
    <s v="雙11"/>
    <n v="165.2"/>
    <n v="1"/>
    <n v="1"/>
  </r>
  <r>
    <s v="三采"/>
    <s v="科學實驗王6-環境與污染"/>
    <x v="1"/>
    <d v="2025-11-01T00:00:00"/>
    <n v="165.2"/>
    <s v="MOMO"/>
    <m/>
    <m/>
    <d v="2025-11-28T00:00:00"/>
    <s v="雙11"/>
    <n v="165.2"/>
    <n v="1"/>
    <n v="1"/>
  </r>
  <r>
    <s v="三采"/>
    <s v="科學實驗王7-人體的奧秘"/>
    <x v="1"/>
    <d v="2025-11-01T00:00:00"/>
    <n v="165.2"/>
    <s v="MOMO"/>
    <m/>
    <m/>
    <d v="2025-11-29T00:00:00"/>
    <s v="雙11"/>
    <n v="165.2"/>
    <n v="1"/>
    <n v="1"/>
  </r>
  <r>
    <s v="三采"/>
    <s v="科學實驗王8-基因與遺傳"/>
    <x v="1"/>
    <d v="2025-11-01T00:00:00"/>
    <n v="165.2"/>
    <s v="MOMO"/>
    <m/>
    <m/>
    <d v="2026-04-04T00:00:00"/>
    <s v="雙11"/>
    <n v="165.2"/>
    <n v="1"/>
    <n v="1"/>
  </r>
  <r>
    <s v="三采"/>
    <s v="科學實驗王9"/>
    <x v="0"/>
    <d v="2025-11-01T00:00:00"/>
    <n v="165.2"/>
    <s v="MOMO"/>
    <m/>
    <m/>
    <m/>
    <s v="雙11"/>
    <n v="165.2"/>
    <s v=""/>
    <n v="1"/>
  </r>
  <r>
    <s v="三采"/>
    <s v="科學實驗王10"/>
    <x v="0"/>
    <d v="2025-11-01T00:00:00"/>
    <n v="165.2"/>
    <s v="MOMO"/>
    <m/>
    <m/>
    <m/>
    <s v="雙11"/>
    <n v="165.2"/>
    <s v=""/>
    <n v="1"/>
  </r>
  <r>
    <s v="三采"/>
    <s v="科學實驗王11"/>
    <x v="0"/>
    <d v="2025-11-01T00:00:00"/>
    <n v="165.2"/>
    <s v="MOMO"/>
    <m/>
    <m/>
    <m/>
    <s v="雙11"/>
    <n v="165.2"/>
    <s v=""/>
    <n v="1"/>
  </r>
  <r>
    <s v="三采"/>
    <s v="科學實驗王12"/>
    <x v="0"/>
    <d v="2025-11-01T00:00:00"/>
    <n v="165.2"/>
    <s v="MOMO"/>
    <m/>
    <m/>
    <m/>
    <s v="雙11"/>
    <n v="165.2"/>
    <s v=""/>
    <n v="1"/>
  </r>
  <r>
    <s v="三采"/>
    <s v="科學實驗王13"/>
    <x v="0"/>
    <d v="2025-11-01T00:00:00"/>
    <n v="165.2"/>
    <s v="MOMO"/>
    <m/>
    <m/>
    <m/>
    <s v="雙11"/>
    <n v="165.2"/>
    <s v=""/>
    <n v="1"/>
  </r>
  <r>
    <s v="三采"/>
    <s v="科學實驗王14"/>
    <x v="0"/>
    <d v="2025-11-01T00:00:00"/>
    <n v="165.2"/>
    <s v="MOMO"/>
    <m/>
    <m/>
    <m/>
    <s v="雙11"/>
    <n v="165.2"/>
    <s v=""/>
    <n v="1"/>
  </r>
  <r>
    <s v="三采"/>
    <s v="科學實驗王15"/>
    <x v="0"/>
    <d v="2025-11-01T00:00:00"/>
    <n v="165.2"/>
    <s v="MOMO"/>
    <m/>
    <m/>
    <m/>
    <s v="雙11"/>
    <n v="165.2"/>
    <s v=""/>
    <n v="1"/>
  </r>
  <r>
    <s v="三采"/>
    <s v="科學實驗王16"/>
    <x v="0"/>
    <d v="2025-11-01T00:00:00"/>
    <n v="165.2"/>
    <s v="MOMO"/>
    <m/>
    <m/>
    <m/>
    <s v="雙11"/>
    <n v="165.2"/>
    <s v=""/>
    <n v="1"/>
  </r>
  <r>
    <s v="三采"/>
    <s v="科學實驗王17"/>
    <x v="0"/>
    <d v="2025-11-01T00:00:00"/>
    <n v="165.2"/>
    <s v="MOMO"/>
    <m/>
    <m/>
    <m/>
    <s v="雙11"/>
    <n v="165.2"/>
    <s v=""/>
    <n v="1"/>
  </r>
  <r>
    <s v="三采"/>
    <s v="科學實驗王18"/>
    <x v="0"/>
    <d v="2025-11-01T00:00:00"/>
    <n v="165.2"/>
    <s v="MOMO"/>
    <m/>
    <m/>
    <m/>
    <s v="雙11"/>
    <n v="165.2"/>
    <s v=""/>
    <n v="1"/>
  </r>
  <r>
    <s v="三采"/>
    <s v="科學實驗王19"/>
    <x v="0"/>
    <d v="2025-11-01T00:00:00"/>
    <n v="165.2"/>
    <s v="MOMO"/>
    <m/>
    <m/>
    <m/>
    <s v="雙11"/>
    <n v="165.2"/>
    <s v=""/>
    <n v="1"/>
  </r>
  <r>
    <s v="三采"/>
    <s v="科學實驗王20"/>
    <x v="0"/>
    <d v="2025-11-01T00:00:00"/>
    <n v="165.2"/>
    <s v="MOMO"/>
    <m/>
    <m/>
    <m/>
    <s v="雙11"/>
    <n v="165.2"/>
    <s v=""/>
    <n v="1"/>
  </r>
  <r>
    <s v="三采"/>
    <s v="希臘羅馬神話1"/>
    <x v="0"/>
    <d v="2025-11-01T00:00:00"/>
    <n v="188.8"/>
    <s v="MOMO"/>
    <m/>
    <m/>
    <m/>
    <s v="雙11"/>
    <n v="188.8"/>
    <s v=""/>
    <n v="1"/>
  </r>
  <r>
    <s v="三采"/>
    <s v="希臘羅馬神話2"/>
    <x v="0"/>
    <d v="2025-11-01T00:00:00"/>
    <n v="188.8"/>
    <s v="MOMO"/>
    <m/>
    <m/>
    <m/>
    <s v="雙11"/>
    <n v="188.8"/>
    <s v=""/>
    <n v="1"/>
  </r>
  <r>
    <s v="三采"/>
    <s v="希臘羅馬神話3"/>
    <x v="0"/>
    <d v="2025-11-01T00:00:00"/>
    <n v="188.8"/>
    <s v="MOMO"/>
    <m/>
    <m/>
    <m/>
    <s v="雙11"/>
    <n v="188.8"/>
    <s v=""/>
    <n v="1"/>
  </r>
  <r>
    <s v="三采"/>
    <s v="希臘羅馬神話4"/>
    <x v="0"/>
    <d v="2025-11-01T00:00:00"/>
    <n v="188.8"/>
    <s v="MOMO"/>
    <m/>
    <m/>
    <m/>
    <s v="雙11"/>
    <n v="188.8"/>
    <s v=""/>
    <n v="1"/>
  </r>
  <r>
    <s v="三采"/>
    <s v="希臘羅馬神話5"/>
    <x v="0"/>
    <d v="2025-11-01T00:00:00"/>
    <n v="188.8"/>
    <s v="MOMO"/>
    <m/>
    <m/>
    <m/>
    <s v="雙11"/>
    <n v="188.8"/>
    <s v=""/>
    <n v="1"/>
  </r>
  <r>
    <s v="三采"/>
    <s v="希臘羅馬神話6"/>
    <x v="0"/>
    <d v="2025-11-01T00:00:00"/>
    <n v="188.8"/>
    <s v="MOMO"/>
    <m/>
    <m/>
    <m/>
    <s v="雙11"/>
    <n v="188.8"/>
    <s v=""/>
    <n v="1"/>
  </r>
  <r>
    <s v="三采"/>
    <s v="希臘羅馬神話7"/>
    <x v="0"/>
    <d v="2025-11-01T00:00:00"/>
    <n v="188.8"/>
    <s v="MOMO"/>
    <m/>
    <m/>
    <m/>
    <s v="雙11"/>
    <n v="188.8"/>
    <s v=""/>
    <n v="1"/>
  </r>
  <r>
    <s v="三采"/>
    <s v="希臘羅馬神話8"/>
    <x v="0"/>
    <d v="2025-11-01T00:00:00"/>
    <n v="188.8"/>
    <s v="MOMO"/>
    <m/>
    <m/>
    <m/>
    <s v="雙11"/>
    <n v="188.8"/>
    <s v=""/>
    <n v="1"/>
  </r>
  <r>
    <s v="三采"/>
    <s v="希臘羅馬神話9"/>
    <x v="0"/>
    <d v="2025-11-01T00:00:00"/>
    <n v="188.8"/>
    <s v="MOMO"/>
    <m/>
    <m/>
    <m/>
    <s v="雙11"/>
    <n v="188.8"/>
    <s v=""/>
    <n v="1"/>
  </r>
  <r>
    <s v="三采"/>
    <s v="希臘羅馬神話10"/>
    <x v="0"/>
    <d v="2025-11-01T00:00:00"/>
    <n v="188.8"/>
    <s v="MOMO"/>
    <m/>
    <m/>
    <m/>
    <s v="雙11"/>
    <n v="188.8"/>
    <s v=""/>
    <n v="1"/>
  </r>
  <r>
    <s v="三采"/>
    <s v="大英百科-科技6-人工智慧"/>
    <x v="1"/>
    <d v="2025-06-10T00:00:00"/>
    <n v="297"/>
    <s v="MOMO"/>
    <m/>
    <m/>
    <d v="2026-03-14T00:00:00"/>
    <m/>
    <n v="297"/>
    <n v="1"/>
    <n v="1"/>
  </r>
  <r>
    <s v="三采"/>
    <s v="大英百科-科技7-巨量資料"/>
    <x v="0"/>
    <d v="2025-06-10T00:00:00"/>
    <n v="297"/>
    <s v="MOMO"/>
    <m/>
    <m/>
    <m/>
    <m/>
    <n v="297"/>
    <s v=""/>
    <n v="1"/>
  </r>
  <r>
    <s v="三采"/>
    <s v="大英百科-科技8-生物科技"/>
    <x v="0"/>
    <d v="2025-06-10T00:00:00"/>
    <n v="297"/>
    <s v="MOMO"/>
    <m/>
    <m/>
    <m/>
    <m/>
    <n v="297"/>
    <s v=""/>
    <n v="1"/>
  </r>
  <r>
    <s v="三采"/>
    <s v="大英百科-科技9-自駕車"/>
    <x v="0"/>
    <d v="2025-06-10T00:00:00"/>
    <n v="297"/>
    <s v="MOMO"/>
    <m/>
    <m/>
    <m/>
    <m/>
    <n v="297"/>
    <s v=""/>
    <n v="1"/>
  </r>
  <r>
    <s v="三采"/>
    <s v="大英百科-科技10-NASA與航太科技"/>
    <x v="0"/>
    <d v="2025-06-10T00:00:00"/>
    <n v="297"/>
    <s v="MOMO"/>
    <m/>
    <m/>
    <m/>
    <m/>
    <n v="297"/>
    <s v=""/>
    <n v="1"/>
  </r>
  <r>
    <s v="三采"/>
    <s v="大英百科-生物地科1-昆蟲與蜘蛛"/>
    <x v="0"/>
    <d v="2026-03-07T00:00:00"/>
    <n v="247.8"/>
    <s v="MOMO"/>
    <m/>
    <m/>
    <m/>
    <m/>
    <n v="247.8"/>
    <s v=""/>
    <n v="1"/>
  </r>
  <r>
    <s v="三采"/>
    <s v="大英百科-生物地科2-地球"/>
    <x v="0"/>
    <d v="2026-03-07T00:00:00"/>
    <n v="247.8"/>
    <s v="MOMO"/>
    <m/>
    <m/>
    <m/>
    <m/>
    <n v="247.8"/>
    <s v=""/>
    <n v="1"/>
  </r>
  <r>
    <s v="三采"/>
    <s v="大英百科-生物地科3-微生物"/>
    <x v="0"/>
    <d v="2026-03-07T00:00:00"/>
    <n v="247.8"/>
    <s v="MOMO"/>
    <m/>
    <m/>
    <m/>
    <m/>
    <n v="247.8"/>
    <s v=""/>
    <n v="1"/>
  </r>
  <r>
    <s v="三采"/>
    <s v="大英百科-生物地科4-兩棲類與爬蟲類"/>
    <x v="0"/>
    <d v="2026-03-07T00:00:00"/>
    <n v="247.8"/>
    <s v="MOMO"/>
    <m/>
    <m/>
    <m/>
    <m/>
    <n v="247.8"/>
    <s v=""/>
    <n v="1"/>
  </r>
  <r>
    <s v="三采"/>
    <s v="大英百科-生物地科5-潮間帶"/>
    <x v="0"/>
    <d v="2026-03-07T00:00:00"/>
    <n v="247.8"/>
    <s v="MOMO"/>
    <m/>
    <m/>
    <m/>
    <m/>
    <n v="247.8"/>
    <s v=""/>
    <n v="1"/>
  </r>
  <r>
    <s v="三采"/>
    <s v="大英百科-生物地科6-天氣"/>
    <x v="0"/>
    <d v="2026-03-07T00:00:00"/>
    <n v="247.8"/>
    <s v="MOMO"/>
    <m/>
    <m/>
    <m/>
    <m/>
    <n v="247.8"/>
    <s v=""/>
    <n v="1"/>
  </r>
  <r>
    <s v="三采"/>
    <s v="大英百科-生物地科7-龐物家禽家畜"/>
    <x v="0"/>
    <d v="2026-03-07T00:00:00"/>
    <n v="247.8"/>
    <s v="MOMO"/>
    <m/>
    <m/>
    <m/>
    <m/>
    <n v="247.8"/>
    <s v=""/>
    <n v="1"/>
  </r>
  <r>
    <s v="三采"/>
    <s v="大英百科-生物地科8-恐龍"/>
    <x v="0"/>
    <d v="2026-03-07T00:00:00"/>
    <n v="247.8"/>
    <s v="MOMO"/>
    <m/>
    <m/>
    <m/>
    <m/>
    <n v="247.8"/>
    <s v=""/>
    <n v="1"/>
  </r>
  <r>
    <s v="三采"/>
    <s v="大英百科-生物地科9-環境"/>
    <x v="0"/>
    <d v="2026-03-07T00:00:00"/>
    <n v="247.8"/>
    <s v="MOMO"/>
    <m/>
    <m/>
    <m/>
    <m/>
    <n v="247.8"/>
    <s v=""/>
    <n v="1"/>
  </r>
  <r>
    <s v="三采"/>
    <s v="大英百科-生物地科10-北極與南極"/>
    <x v="0"/>
    <d v="2026-03-07T00:00:00"/>
    <n v="247.8"/>
    <s v="MOMO"/>
    <m/>
    <m/>
    <m/>
    <m/>
    <n v="247.8"/>
    <s v=""/>
    <n v="1"/>
  </r>
  <r>
    <s v="三采"/>
    <s v="大英百科-物理化學1-宇宙"/>
    <x v="0"/>
    <d v="2026-03-07T00:00:00"/>
    <n v="247.8"/>
    <s v="MOMO"/>
    <m/>
    <m/>
    <m/>
    <m/>
    <n v="247.8"/>
    <s v=""/>
    <n v="1"/>
  </r>
  <r>
    <s v="三采"/>
    <s v="大英百科-物理化學2-光與聲音"/>
    <x v="0"/>
    <d v="2026-03-07T00:00:00"/>
    <n v="247.8"/>
    <s v="MOMO"/>
    <m/>
    <m/>
    <m/>
    <m/>
    <n v="247.8"/>
    <s v=""/>
    <n v="1"/>
  </r>
  <r>
    <s v="三采"/>
    <s v="大英百科-物理化學3-物質的特性"/>
    <x v="0"/>
    <d v="2026-03-07T00:00:00"/>
    <n v="247.8"/>
    <s v="MOMO"/>
    <m/>
    <m/>
    <m/>
    <m/>
    <n v="247.8"/>
    <s v=""/>
    <n v="1"/>
  </r>
  <r>
    <s v="三采"/>
    <s v="大英百科-物理化學4-力與能量"/>
    <x v="0"/>
    <d v="2026-03-07T00:00:00"/>
    <n v="247.8"/>
    <s v="MOMO"/>
    <m/>
    <m/>
    <m/>
    <m/>
    <n v="247.8"/>
    <s v=""/>
    <n v="1"/>
  </r>
  <r>
    <s v="三采"/>
    <s v="大英百科-物理化學5-水"/>
    <x v="0"/>
    <d v="2026-03-07T00:00:00"/>
    <n v="247.8"/>
    <s v="MOMO"/>
    <m/>
    <m/>
    <m/>
    <m/>
    <n v="247.8"/>
    <s v=""/>
    <n v="1"/>
  </r>
  <r>
    <s v="三采"/>
    <s v="小妖怪1"/>
    <x v="1"/>
    <d v="2024-09-11T00:00:00"/>
    <n v="179"/>
    <s v="其他"/>
    <n v="-161"/>
    <m/>
    <m/>
    <m/>
    <n v="18"/>
    <n v="1"/>
    <n v="1"/>
  </r>
  <r>
    <s v="三采"/>
    <s v="小妖怪2"/>
    <x v="1"/>
    <d v="2024-09-11T00:00:00"/>
    <n v="179"/>
    <s v="其他"/>
    <n v="-161"/>
    <m/>
    <m/>
    <m/>
    <n v="18"/>
    <n v="1"/>
    <n v="1"/>
  </r>
  <r>
    <s v="三采"/>
    <s v="小妖怪3"/>
    <x v="1"/>
    <d v="2024-09-11T00:00:00"/>
    <n v="179"/>
    <s v="其他"/>
    <n v="-161"/>
    <m/>
    <m/>
    <m/>
    <n v="18"/>
    <n v="1"/>
    <n v="1"/>
  </r>
  <r>
    <s v="三采"/>
    <s v="小妖怪4"/>
    <x v="1"/>
    <d v="2024-09-11T00:00:00"/>
    <n v="179"/>
    <s v="其他"/>
    <n v="-161"/>
    <m/>
    <m/>
    <m/>
    <n v="18"/>
    <n v="1"/>
    <n v="1"/>
  </r>
  <r>
    <s v="三采"/>
    <s v="小妖怪5"/>
    <x v="1"/>
    <d v="2024-09-11T00:00:00"/>
    <n v="179"/>
    <s v="其他"/>
    <n v="-161"/>
    <m/>
    <m/>
    <m/>
    <n v="18"/>
    <n v="1"/>
    <n v="1"/>
  </r>
  <r>
    <s v="三采"/>
    <s v="小妖怪6"/>
    <x v="1"/>
    <d v="2024-09-11T00:00:00"/>
    <n v="179"/>
    <s v="其他"/>
    <n v="-161"/>
    <m/>
    <m/>
    <m/>
    <n v="18"/>
    <n v="1"/>
    <n v="1"/>
  </r>
  <r>
    <s v="三采"/>
    <s v="小妖怪7"/>
    <x v="1"/>
    <d v="2024-09-11T00:00:00"/>
    <n v="179"/>
    <s v="其他"/>
    <n v="-161"/>
    <m/>
    <m/>
    <m/>
    <n v="18"/>
    <n v="1"/>
    <n v="1"/>
  </r>
  <r>
    <s v="三采"/>
    <s v="小妖怪8"/>
    <x v="1"/>
    <d v="2024-09-11T00:00:00"/>
    <n v="179"/>
    <s v="其他"/>
    <n v="-161"/>
    <m/>
    <m/>
    <m/>
    <n v="18"/>
    <n v="1"/>
    <n v="1"/>
  </r>
  <r>
    <s v="三采"/>
    <s v="小妖怪9"/>
    <x v="1"/>
    <d v="2024-09-11T00:00:00"/>
    <n v="179"/>
    <s v="其他"/>
    <n v="-161"/>
    <m/>
    <m/>
    <m/>
    <n v="18"/>
    <n v="1"/>
    <n v="1"/>
  </r>
  <r>
    <s v="三采"/>
    <s v="小妖怪10"/>
    <x v="1"/>
    <d v="2024-09-11T00:00:00"/>
    <n v="179"/>
    <s v="其他"/>
    <n v="-161"/>
    <m/>
    <m/>
    <m/>
    <n v="18"/>
    <n v="1"/>
    <n v="1"/>
  </r>
  <r>
    <s v="三采"/>
    <s v="小妖怪11"/>
    <x v="1"/>
    <d v="2024-10-20T00:00:00"/>
    <n v="219"/>
    <s v="MOMO"/>
    <n v="-171"/>
    <m/>
    <m/>
    <s v="有點數每本折10元，未扣"/>
    <n v="48"/>
    <n v="1"/>
    <n v="1"/>
  </r>
  <r>
    <s v="三采"/>
    <s v="小妖怪12"/>
    <x v="1"/>
    <d v="2024-10-20T00:00:00"/>
    <n v="219"/>
    <s v="MOMO"/>
    <n v="-171"/>
    <m/>
    <m/>
    <s v="有點數每本折10元，未扣"/>
    <n v="48"/>
    <n v="1"/>
    <n v="1"/>
  </r>
  <r>
    <s v="三采"/>
    <s v="小妖怪13"/>
    <x v="1"/>
    <d v="2024-10-20T00:00:00"/>
    <n v="219"/>
    <s v="MOMO"/>
    <n v="-171"/>
    <m/>
    <m/>
    <s v="有點數每本折10元，未扣"/>
    <n v="48"/>
    <n v="1"/>
    <n v="1"/>
  </r>
  <r>
    <s v="三采"/>
    <s v="小妖怪14"/>
    <x v="1"/>
    <d v="2024-10-20T00:00:00"/>
    <n v="219"/>
    <s v="MOMO"/>
    <n v="-171"/>
    <m/>
    <m/>
    <s v="有點數每本折10元，未扣"/>
    <n v="48"/>
    <n v="1"/>
    <n v="1"/>
  </r>
  <r>
    <s v="三采"/>
    <s v="小妖怪15"/>
    <x v="1"/>
    <d v="2024-10-20T00:00:00"/>
    <n v="219"/>
    <s v="MOMO"/>
    <n v="-171"/>
    <m/>
    <m/>
    <s v="有點數每本折10元，未扣"/>
    <n v="48"/>
    <n v="1"/>
    <n v="1"/>
  </r>
  <r>
    <s v="三采"/>
    <s v="小妖怪16"/>
    <x v="1"/>
    <d v="2024-10-20T00:00:00"/>
    <n v="219"/>
    <s v="MOMO"/>
    <n v="-171"/>
    <m/>
    <m/>
    <s v="有點數每本折10元，未扣"/>
    <n v="48"/>
    <n v="1"/>
    <n v="1"/>
  </r>
  <r>
    <s v="三采"/>
    <s v="小妖怪17"/>
    <x v="1"/>
    <d v="2024-10-20T00:00:00"/>
    <n v="219"/>
    <s v="MOMO"/>
    <n v="-171"/>
    <m/>
    <m/>
    <s v="有點數每本折10元，未扣"/>
    <n v="48"/>
    <n v="1"/>
    <n v="1"/>
  </r>
  <r>
    <s v="三采"/>
    <s v="小妖怪18"/>
    <x v="1"/>
    <d v="2024-10-20T00:00:00"/>
    <n v="219"/>
    <s v="MOMO"/>
    <n v="-171"/>
    <m/>
    <m/>
    <s v="有點數每本折10元，未扣"/>
    <n v="48"/>
    <n v="1"/>
    <n v="1"/>
  </r>
  <r>
    <s v="三采"/>
    <s v="小妖怪19"/>
    <x v="1"/>
    <d v="2024-10-20T00:00:00"/>
    <n v="219"/>
    <s v="MOMO"/>
    <n v="-171"/>
    <m/>
    <m/>
    <s v="有點數每本折10元，未扣"/>
    <n v="48"/>
    <n v="1"/>
    <n v="1"/>
  </r>
  <r>
    <s v="三采"/>
    <s v="小妖怪20"/>
    <x v="1"/>
    <d v="2024-10-20T00:00:00"/>
    <n v="219"/>
    <s v="MOMO"/>
    <n v="-171"/>
    <m/>
    <m/>
    <s v="有點數每本折10元，未扣"/>
    <n v="48"/>
    <n v="1"/>
    <n v="1"/>
  </r>
  <r>
    <s v="三采"/>
    <s v="小妖怪21"/>
    <x v="1"/>
    <d v="2024-10-31T00:00:00"/>
    <n v="177"/>
    <s v="FB"/>
    <n v="-171"/>
    <m/>
    <m/>
    <m/>
    <n v="6"/>
    <n v="1"/>
    <n v="1"/>
  </r>
  <r>
    <s v="三采"/>
    <s v="小妖怪22"/>
    <x v="1"/>
    <d v="2024-10-31T00:00:00"/>
    <n v="177"/>
    <s v="FB"/>
    <n v="-171"/>
    <m/>
    <m/>
    <m/>
    <n v="6"/>
    <n v="1"/>
    <n v="1"/>
  </r>
  <r>
    <s v="三采"/>
    <s v="小妖怪23"/>
    <x v="1"/>
    <d v="2024-10-31T00:00:00"/>
    <n v="177"/>
    <s v="FB"/>
    <n v="-171"/>
    <m/>
    <m/>
    <m/>
    <n v="6"/>
    <n v="1"/>
    <n v="1"/>
  </r>
  <r>
    <s v="三采"/>
    <s v="小妖怪24"/>
    <x v="1"/>
    <d v="2024-10-31T00:00:00"/>
    <n v="177"/>
    <s v="FB"/>
    <n v="-171"/>
    <m/>
    <m/>
    <m/>
    <n v="6"/>
    <n v="1"/>
    <n v="1"/>
  </r>
  <r>
    <s v="三采"/>
    <s v="小妖怪25"/>
    <x v="1"/>
    <d v="2024-10-31T00:00:00"/>
    <n v="177"/>
    <s v="FB"/>
    <n v="-171"/>
    <m/>
    <m/>
    <m/>
    <n v="6"/>
    <n v="1"/>
    <n v="1"/>
  </r>
  <r>
    <s v="三采"/>
    <s v="小妖怪26"/>
    <x v="1"/>
    <d v="2024-10-31T00:00:00"/>
    <n v="177"/>
    <s v="FB"/>
    <n v="-171"/>
    <m/>
    <m/>
    <m/>
    <n v="6"/>
    <n v="1"/>
    <n v="1"/>
  </r>
  <r>
    <s v="三采"/>
    <s v="小妖怪27"/>
    <x v="1"/>
    <d v="2024-10-31T00:00:00"/>
    <n v="177"/>
    <s v="FB"/>
    <n v="-171"/>
    <m/>
    <m/>
    <m/>
    <n v="6"/>
    <n v="1"/>
    <n v="1"/>
  </r>
  <r>
    <s v="三采"/>
    <s v="小妖怪28"/>
    <x v="1"/>
    <d v="2024-10-31T00:00:00"/>
    <n v="177"/>
    <s v="FB"/>
    <n v="-171"/>
    <m/>
    <m/>
    <m/>
    <n v="6"/>
    <n v="1"/>
    <n v="1"/>
  </r>
  <r>
    <s v="三采"/>
    <s v="小妖怪29"/>
    <x v="1"/>
    <d v="2024-10-31T00:00:00"/>
    <n v="177"/>
    <s v="FB"/>
    <n v="-171"/>
    <m/>
    <m/>
    <m/>
    <n v="6"/>
    <n v="1"/>
    <n v="1"/>
  </r>
  <r>
    <s v="三采"/>
    <s v="小妖怪30"/>
    <x v="1"/>
    <d v="2024-10-31T00:00:00"/>
    <n v="177"/>
    <s v="FB"/>
    <n v="-171"/>
    <m/>
    <m/>
    <m/>
    <n v="6"/>
    <n v="1"/>
    <n v="1"/>
  </r>
  <r>
    <s v="三采"/>
    <s v="褲子小偷1"/>
    <x v="1"/>
    <d v="2024-09-12T00:00:00"/>
    <n v="247"/>
    <s v="其他"/>
    <m/>
    <m/>
    <d v="2026-04-06T00:00:00"/>
    <m/>
    <n v="247"/>
    <n v="1"/>
    <n v="1"/>
  </r>
  <r>
    <s v="三采"/>
    <s v="褲子小偷2"/>
    <x v="1"/>
    <d v="2024-09-12T00:00:00"/>
    <n v="247"/>
    <s v="其他"/>
    <m/>
    <m/>
    <d v="2026-04-06T00:00:00"/>
    <m/>
    <n v="247"/>
    <n v="1"/>
    <n v="1"/>
  </r>
  <r>
    <s v="三采"/>
    <s v="天才麵包理髮師1"/>
    <x v="1"/>
    <d v="2024-09-11T00:00:00"/>
    <n v="221"/>
    <s v="團書"/>
    <n v="-242.2"/>
    <d v="2026-02-24T00:00:00"/>
    <d v="2026-02-07T00:00:00"/>
    <s v="二刷、三刷"/>
    <n v="-21.199999999999989"/>
    <n v="1"/>
    <n v="1"/>
  </r>
  <r>
    <s v="三采"/>
    <s v="天才麵包理髮師2"/>
    <x v="1"/>
    <d v="2024-09-11T00:00:00"/>
    <n v="221"/>
    <s v="團書"/>
    <n v="-242.2"/>
    <d v="2026-02-24T00:00:00"/>
    <m/>
    <m/>
    <n v="-21.199999999999989"/>
    <n v="1"/>
    <n v="1"/>
  </r>
  <r>
    <s v="三采"/>
    <s v="天才麵包理髮師3"/>
    <x v="1"/>
    <d v="2024-09-11T00:00:00"/>
    <n v="221"/>
    <s v="團書"/>
    <n v="-242.2"/>
    <d v="2026-02-24T00:00:00"/>
    <m/>
    <m/>
    <n v="-21.199999999999989"/>
    <n v="1"/>
    <n v="1"/>
  </r>
  <r>
    <s v="三采"/>
    <s v="天才麵包理髮師4"/>
    <x v="1"/>
    <d v="2024-09-11T00:00:00"/>
    <n v="221"/>
    <s v="團書"/>
    <n v="-242.2"/>
    <d v="2026-02-24T00:00:00"/>
    <m/>
    <m/>
    <n v="-21.199999999999989"/>
    <n v="1"/>
    <n v="1"/>
  </r>
  <r>
    <s v="三采"/>
    <s v="天才麵包理髮師5"/>
    <x v="1"/>
    <d v="2024-09-11T00:00:00"/>
    <n v="221"/>
    <s v="團書"/>
    <n v="-242.2"/>
    <d v="2026-02-24T00:00:00"/>
    <m/>
    <m/>
    <n v="-21.199999999999989"/>
    <n v="1"/>
    <n v="1"/>
  </r>
  <r>
    <s v="三采"/>
    <s v="普通兄妹的秘密日記1"/>
    <x v="1"/>
    <d v="2024-09-11T00:00:00"/>
    <n v="241"/>
    <s v="團書"/>
    <n v="-200"/>
    <m/>
    <m/>
    <m/>
    <n v="41"/>
    <n v="1"/>
    <n v="1"/>
  </r>
  <r>
    <s v="三采"/>
    <s v="普通兄妹的秘密日記2"/>
    <x v="1"/>
    <d v="2024-09-11T00:00:00"/>
    <n v="241"/>
    <s v="團書"/>
    <n v="-200"/>
    <m/>
    <m/>
    <m/>
    <n v="41"/>
    <n v="1"/>
    <n v="1"/>
  </r>
  <r>
    <s v="三采"/>
    <s v="普通兄妹的秘密日記3"/>
    <x v="1"/>
    <d v="2024-09-11T00:00:00"/>
    <n v="241"/>
    <s v="團書"/>
    <n v="-200"/>
    <m/>
    <m/>
    <m/>
    <n v="41"/>
    <n v="1"/>
    <n v="1"/>
  </r>
  <r>
    <s v="三采"/>
    <s v="普通兄妹的密室逃脫任務1"/>
    <x v="1"/>
    <d v="2024-09-11T00:00:00"/>
    <n v="241"/>
    <s v="團書"/>
    <n v="-231"/>
    <d v="2026-01-14T00:00:00"/>
    <m/>
    <m/>
    <n v="10"/>
    <n v="1"/>
    <n v="1"/>
  </r>
  <r>
    <s v="三采"/>
    <s v="普通兄妹的密室逃脫任務2"/>
    <x v="1"/>
    <d v="2024-09-11T00:00:00"/>
    <n v="241"/>
    <s v="團書"/>
    <n v="-231"/>
    <d v="2026-01-14T00:00:00"/>
    <m/>
    <m/>
    <n v="10"/>
    <n v="1"/>
    <n v="1"/>
  </r>
  <r>
    <s v="三采"/>
    <s v="天才圍棋王1"/>
    <x v="1"/>
    <d v="2024-09-11T00:00:00"/>
    <n v="262"/>
    <s v="團書"/>
    <m/>
    <m/>
    <d v="2025-10-10T00:00:00"/>
    <m/>
    <n v="262"/>
    <n v="1"/>
    <n v="1"/>
  </r>
  <r>
    <s v="遠流"/>
    <s v="天生就是超級咖-我很奇怪但很可愛2"/>
    <x v="1"/>
    <d v="2025-05-28T00:00:00"/>
    <n v="271"/>
    <s v="團書"/>
    <m/>
    <m/>
    <d v="2026-02-01T00:00:00"/>
    <m/>
    <n v="271"/>
    <n v="1"/>
    <n v="1"/>
  </r>
  <r>
    <s v="遠流"/>
    <s v="好聰明漫畫醫學：生病了該怎麼辦？"/>
    <x v="0"/>
    <d v="2025-05-28T00:00:00"/>
    <n v="197"/>
    <s v="團書"/>
    <m/>
    <m/>
    <m/>
    <m/>
    <n v="197"/>
    <s v=""/>
    <n v="1"/>
  </r>
  <r>
    <s v="遠流"/>
    <s v="好聰明漫畫醫學：原來身體這樣運作"/>
    <x v="0"/>
    <d v="2025-05-28T00:00:00"/>
    <n v="200"/>
    <s v="團書"/>
    <m/>
    <m/>
    <m/>
    <m/>
    <n v="200"/>
    <s v=""/>
    <n v="1"/>
  </r>
  <r>
    <s v="遠流"/>
    <s v="漫書台灣故事1"/>
    <x v="1"/>
    <d v="2025-05-28T00:00:00"/>
    <n v="149.25"/>
    <s v="團書"/>
    <m/>
    <m/>
    <d v="2026-01-24T00:00:00"/>
    <s v="2刷"/>
    <n v="149.25"/>
    <n v="1"/>
    <n v="1"/>
  </r>
  <r>
    <s v="遠流"/>
    <s v="漫書台灣故事2"/>
    <x v="1"/>
    <d v="2025-05-28T00:00:00"/>
    <n v="149.25"/>
    <s v="團書"/>
    <m/>
    <m/>
    <m/>
    <m/>
    <n v="149.25"/>
    <n v="1"/>
    <n v="1"/>
  </r>
  <r>
    <s v="遠流"/>
    <s v="漫書台灣故事3"/>
    <x v="0"/>
    <d v="2025-05-28T00:00:00"/>
    <n v="149.25"/>
    <s v="團書"/>
    <m/>
    <m/>
    <m/>
    <m/>
    <n v="149.25"/>
    <s v=""/>
    <n v="1"/>
  </r>
  <r>
    <s v="遠流"/>
    <s v="漫書台灣故事4"/>
    <x v="0"/>
    <d v="2025-05-28T00:00:00"/>
    <n v="149.25"/>
    <s v="團書"/>
    <m/>
    <m/>
    <m/>
    <m/>
    <n v="149.25"/>
    <s v=""/>
    <n v="1"/>
  </r>
  <r>
    <s v="遠流"/>
    <s v="漫書台灣故事5"/>
    <x v="0"/>
    <d v="2025-05-28T00:00:00"/>
    <n v="149.25"/>
    <s v="團書"/>
    <m/>
    <m/>
    <m/>
    <m/>
    <n v="149.25"/>
    <s v=""/>
    <n v="1"/>
  </r>
  <r>
    <s v="遠流"/>
    <s v="漫書台灣故事6"/>
    <x v="0"/>
    <d v="2025-05-28T00:00:00"/>
    <n v="149.25"/>
    <s v="團書"/>
    <m/>
    <m/>
    <m/>
    <m/>
    <n v="149.25"/>
    <s v=""/>
    <n v="1"/>
  </r>
  <r>
    <s v="遠流"/>
    <s v="漫書台灣故事7"/>
    <x v="0"/>
    <d v="2025-05-28T00:00:00"/>
    <n v="149.25"/>
    <s v="團書"/>
    <m/>
    <m/>
    <m/>
    <m/>
    <n v="149.25"/>
    <s v=""/>
    <n v="1"/>
  </r>
  <r>
    <s v="遠流"/>
    <s v="漫書台灣故事8"/>
    <x v="0"/>
    <d v="2025-05-28T00:00:00"/>
    <n v="149.25"/>
    <s v="團書"/>
    <m/>
    <m/>
    <m/>
    <m/>
    <n v="149.25"/>
    <s v=""/>
    <n v="1"/>
  </r>
  <r>
    <s v="遠流"/>
    <s v="漫書台灣故事9"/>
    <x v="0"/>
    <d v="2025-05-28T00:00:00"/>
    <n v="149.25"/>
    <s v="團書"/>
    <m/>
    <m/>
    <m/>
    <m/>
    <n v="149.25"/>
    <s v=""/>
    <n v="1"/>
  </r>
  <r>
    <s v="遠流"/>
    <s v="漫書台灣故事10"/>
    <x v="0"/>
    <d v="2025-05-28T00:00:00"/>
    <n v="149.25"/>
    <s v="團書"/>
    <m/>
    <m/>
    <m/>
    <m/>
    <n v="149.25"/>
    <s v=""/>
    <n v="1"/>
  </r>
  <r>
    <s v="遠流"/>
    <s v="漫書台灣故事11"/>
    <x v="0"/>
    <d v="2025-05-28T00:00:00"/>
    <n v="149.25"/>
    <s v="團書"/>
    <m/>
    <m/>
    <m/>
    <m/>
    <n v="149.25"/>
    <s v=""/>
    <n v="1"/>
  </r>
  <r>
    <s v="遠流"/>
    <s v="漫書台灣故事12"/>
    <x v="0"/>
    <d v="2025-05-28T00:00:00"/>
    <n v="149.25"/>
    <s v="團書"/>
    <m/>
    <m/>
    <m/>
    <m/>
    <n v="149.25"/>
    <s v=""/>
    <n v="1"/>
  </r>
  <r>
    <s v="遠流"/>
    <s v="巴冷公主要嫁蛇王子(臺灣原生動物說故事1)"/>
    <x v="0"/>
    <d v="2025-05-28T00:00:00"/>
    <n v="218"/>
    <s v="團書"/>
    <m/>
    <m/>
    <m/>
    <m/>
    <n v="218"/>
    <s v=""/>
    <n v="1"/>
  </r>
  <r>
    <s v="遠流"/>
    <s v="魔法獠牙俠(臺灣原生動物說故事2)"/>
    <x v="0"/>
    <d v="2025-05-28T00:00:00"/>
    <n v="218"/>
    <s v="團書"/>
    <m/>
    <m/>
    <m/>
    <m/>
    <n v="218"/>
    <s v=""/>
    <n v="1"/>
  </r>
  <r>
    <s v="遠流"/>
    <s v="好好笑漫畫數學：買賣大作"/>
    <x v="0"/>
    <d v="2025-05-28T00:00:00"/>
    <n v="200"/>
    <s v="團書"/>
    <m/>
    <m/>
    <m/>
    <m/>
    <n v="200"/>
    <s v=""/>
    <n v="1"/>
  </r>
  <r>
    <s v="遠流"/>
    <s v="好好笑漫畫數學：生活數字王"/>
    <x v="0"/>
    <d v="2025-05-28T00:00:00"/>
    <n v="200"/>
    <s v="團書"/>
    <m/>
    <m/>
    <m/>
    <m/>
    <n v="200"/>
    <s v=""/>
    <n v="1"/>
  </r>
  <r>
    <s v="遠流"/>
    <s v="屁屁偵探1"/>
    <x v="1"/>
    <d v="2023-09-30T00:00:00"/>
    <n v="185.8"/>
    <s v="MOMO"/>
    <n v="-146.5"/>
    <m/>
    <m/>
    <m/>
    <n v="39.300000000000011"/>
    <n v="1"/>
    <n v="1"/>
  </r>
  <r>
    <s v="遠流"/>
    <s v="屁屁偵探2"/>
    <x v="1"/>
    <d v="2023-09-30T00:00:00"/>
    <n v="185.8"/>
    <s v="MOMO"/>
    <n v="-146.5"/>
    <m/>
    <m/>
    <m/>
    <n v="39.300000000000011"/>
    <n v="1"/>
    <n v="1"/>
  </r>
  <r>
    <s v="遠流"/>
    <s v="屁屁偵探3"/>
    <x v="1"/>
    <d v="2023-09-30T00:00:00"/>
    <n v="185.8"/>
    <s v="MOMO"/>
    <n v="-146.5"/>
    <m/>
    <m/>
    <m/>
    <n v="39.300000000000011"/>
    <n v="1"/>
    <n v="1"/>
  </r>
  <r>
    <s v="遠流"/>
    <s v="屁屁偵探4"/>
    <x v="1"/>
    <d v="2023-09-30T00:00:00"/>
    <n v="185.8"/>
    <s v="MOMO"/>
    <n v="-146.5"/>
    <m/>
    <m/>
    <m/>
    <n v="39.300000000000011"/>
    <n v="1"/>
    <n v="1"/>
  </r>
  <r>
    <s v="遠流"/>
    <s v="屁屁偵探5"/>
    <x v="1"/>
    <d v="2023-09-30T00:00:00"/>
    <n v="185.8"/>
    <s v="MOMO"/>
    <n v="-146.5"/>
    <m/>
    <m/>
    <m/>
    <n v="39.300000000000011"/>
    <n v="1"/>
    <n v="1"/>
  </r>
  <r>
    <s v="遠流"/>
    <s v="屁屁偵探6"/>
    <x v="1"/>
    <d v="2023-09-30T00:00:00"/>
    <n v="185.8"/>
    <s v="MOMO"/>
    <n v="-146.5"/>
    <m/>
    <m/>
    <m/>
    <n v="39.300000000000011"/>
    <n v="1"/>
    <n v="1"/>
  </r>
  <r>
    <s v="遠流"/>
    <s v="屁屁偵探7"/>
    <x v="1"/>
    <d v="2023-09-30T00:00:00"/>
    <n v="212.5"/>
    <s v="MOMO"/>
    <n v="-146.5"/>
    <m/>
    <m/>
    <m/>
    <n v="66"/>
    <n v="1"/>
    <n v="1"/>
  </r>
  <r>
    <s v="遠流"/>
    <s v="屁屁偵探8"/>
    <x v="1"/>
    <d v="2023-09-30T00:00:00"/>
    <n v="212.5"/>
    <s v="MOMO"/>
    <n v="-146.5"/>
    <m/>
    <m/>
    <m/>
    <n v="66"/>
    <n v="1"/>
    <n v="1"/>
  </r>
  <r>
    <s v="遠流"/>
    <s v="屁屁偵探9"/>
    <x v="1"/>
    <d v="2023-09-30T00:00:00"/>
    <n v="212.5"/>
    <s v="MOMO"/>
    <n v="-146.5"/>
    <m/>
    <m/>
    <m/>
    <n v="66"/>
    <n v="1"/>
    <n v="1"/>
  </r>
  <r>
    <s v="遠流"/>
    <s v="屁屁偵探10"/>
    <x v="1"/>
    <d v="2023-09-30T00:00:00"/>
    <n v="212.5"/>
    <s v="MOMO"/>
    <n v="-146.5"/>
    <m/>
    <m/>
    <m/>
    <n v="66"/>
    <n v="1"/>
    <n v="1"/>
  </r>
  <r>
    <s v="晴好"/>
    <s v="袖珍動物園1"/>
    <x v="0"/>
    <d v="2025-12-01T00:00:00"/>
    <n v="210.8"/>
    <s v="MOMO"/>
    <m/>
    <m/>
    <m/>
    <m/>
    <n v="210.8"/>
    <s v=""/>
    <n v="1"/>
  </r>
  <r>
    <s v="晴好"/>
    <s v="袖珍動物園2"/>
    <x v="0"/>
    <d v="2025-12-01T00:00:00"/>
    <n v="210.8"/>
    <s v="MOMO"/>
    <m/>
    <m/>
    <m/>
    <m/>
    <n v="210.8"/>
    <s v=""/>
    <n v="1"/>
  </r>
  <r>
    <s v="晴好"/>
    <s v="袖珍動物園3"/>
    <x v="0"/>
    <d v="2025-12-01T00:00:00"/>
    <n v="210.8"/>
    <s v="MOMO"/>
    <m/>
    <m/>
    <m/>
    <m/>
    <n v="210.8"/>
    <s v=""/>
    <n v="1"/>
  </r>
  <r>
    <s v="晴好"/>
    <s v="袖珍動物園4"/>
    <x v="0"/>
    <d v="2025-12-01T00:00:00"/>
    <n v="210.8"/>
    <s v="MOMO"/>
    <m/>
    <m/>
    <m/>
    <m/>
    <n v="210.8"/>
    <s v=""/>
    <n v="1"/>
  </r>
  <r>
    <s v="晴好"/>
    <s v="袖珍動物園5"/>
    <x v="0"/>
    <d v="2025-12-01T00:00:00"/>
    <n v="210.8"/>
    <s v="MOMO"/>
    <m/>
    <m/>
    <m/>
    <m/>
    <n v="210.8"/>
    <s v=""/>
    <n v="1"/>
  </r>
  <r>
    <s v="晴好"/>
    <s v="神探邁克狐1"/>
    <x v="2"/>
    <d v="2025-05-23T00:00:00"/>
    <n v="181.33333333333334"/>
    <s v="團書"/>
    <n v="-177"/>
    <d v="2026-01-04T00:00:00"/>
    <m/>
    <m/>
    <n v="4.3333333333333428"/>
    <n v="0"/>
    <n v="1"/>
  </r>
  <r>
    <s v="晴好"/>
    <s v="神探邁克狐2"/>
    <x v="2"/>
    <d v="2025-05-23T00:00:00"/>
    <n v="181.33333333333334"/>
    <s v="團書"/>
    <n v="-177"/>
    <d v="2026-01-04T00:00:00"/>
    <m/>
    <m/>
    <n v="4.3333333333333428"/>
    <n v="0"/>
    <n v="1"/>
  </r>
  <r>
    <s v="晴好"/>
    <s v="神探邁克狐3"/>
    <x v="2"/>
    <d v="2025-05-23T00:00:00"/>
    <n v="181.33333333333334"/>
    <s v="團書"/>
    <n v="-177"/>
    <d v="2026-01-04T00:00:00"/>
    <m/>
    <m/>
    <n v="4.3333333333333428"/>
    <n v="0"/>
    <n v="1"/>
  </r>
  <r>
    <s v="晴好"/>
    <s v="神探邁克狐4"/>
    <x v="2"/>
    <d v="2025-05-23T00:00:00"/>
    <n v="181.33333333333334"/>
    <s v="團書"/>
    <n v="-177"/>
    <d v="2026-01-04T00:00:00"/>
    <m/>
    <m/>
    <n v="4.3333333333333428"/>
    <n v="0"/>
    <n v="1"/>
  </r>
  <r>
    <s v="晴好"/>
    <s v="神探邁克狐5"/>
    <x v="2"/>
    <d v="2025-05-23T00:00:00"/>
    <n v="181.33333333333334"/>
    <s v="團書"/>
    <n v="-177"/>
    <d v="2026-01-04T00:00:00"/>
    <m/>
    <m/>
    <n v="4.3333333333333428"/>
    <n v="0"/>
    <n v="1"/>
  </r>
  <r>
    <s v="晴好"/>
    <s v="神探邁克狐6"/>
    <x v="2"/>
    <d v="2025-05-23T00:00:00"/>
    <n v="181.33333333333334"/>
    <s v="團書"/>
    <n v="-177"/>
    <d v="2026-01-04T00:00:00"/>
    <m/>
    <m/>
    <n v="4.3333333333333428"/>
    <n v="0"/>
    <n v="1"/>
  </r>
  <r>
    <s v="晴好"/>
    <s v="欖仁媽媽全球新聞臺【生活篇】小故事讀懂世界，成為守護SDGs的地球小公民"/>
    <x v="0"/>
    <d v="2026-01-14T00:00:00"/>
    <n v="222.72727272727272"/>
    <s v="讀共"/>
    <m/>
    <m/>
    <m/>
    <s v="110冊24500元"/>
    <n v="222.72727272727272"/>
    <s v=""/>
    <n v="1"/>
  </r>
  <r>
    <s v="晴好"/>
    <s v="欖仁媽媽全球新聞臺【世界篇】小故事讀懂世界，成為守護SDGs的地球小公民"/>
    <x v="0"/>
    <d v="2026-01-14T00:00:00"/>
    <n v="222.72727272727272"/>
    <s v="讀共"/>
    <m/>
    <m/>
    <m/>
    <s v="110冊24500元"/>
    <n v="222.72727272727272"/>
    <s v=""/>
    <n v="1"/>
  </r>
  <r>
    <s v="小宇宙"/>
    <s v="吵架了怎麼和好"/>
    <x v="1"/>
    <d v="2025-04-16T00:00:00"/>
    <n v="270"/>
    <s v="其他"/>
    <n v="-221.07500000000002"/>
    <d v="2025-11-29T00:00:00"/>
    <m/>
    <m/>
    <n v="48.924999999999983"/>
    <n v="1"/>
    <n v="1"/>
  </r>
  <r>
    <s v="小宇宙"/>
    <s v="無敵姊弟科學大冒險(1)：樂器倉庫的祕密"/>
    <x v="0"/>
    <d v="2023-08-07T00:00:00"/>
    <n v="250"/>
    <s v="博客來"/>
    <m/>
    <m/>
    <m/>
    <m/>
    <n v="250"/>
    <s v=""/>
    <n v="1"/>
  </r>
  <r>
    <s v="未來"/>
    <s v="地獄小學1"/>
    <x v="1"/>
    <d v="2025-04-07T00:00:00"/>
    <n v="216"/>
    <s v="博客來"/>
    <n v="-184"/>
    <d v="2025-09-26T00:00:00"/>
    <m/>
    <m/>
    <n v="32"/>
    <n v="1"/>
    <n v="1"/>
  </r>
  <r>
    <s v="未來"/>
    <s v="地獄小學2"/>
    <x v="1"/>
    <d v="2025-04-07T00:00:00"/>
    <n v="216"/>
    <s v="博客來"/>
    <n v="-184"/>
    <d v="2025-09-26T00:00:00"/>
    <m/>
    <m/>
    <n v="32"/>
    <n v="1"/>
    <n v="1"/>
  </r>
  <r>
    <s v="天衛"/>
    <s v="說給兒童的臺灣歷史書"/>
    <x v="0"/>
    <d v="2025-04-07T00:00:00"/>
    <n v="3500"/>
    <s v="博客來"/>
    <m/>
    <m/>
    <m/>
    <m/>
    <n v="3500"/>
    <s v=""/>
    <n v="1"/>
  </r>
  <r>
    <s v="五南"/>
    <s v="一起開口說唐詩(上)"/>
    <x v="0"/>
    <d v="2024-10-27T00:00:00"/>
    <n v="280"/>
    <s v="博客來"/>
    <m/>
    <m/>
    <m/>
    <s v="折價券25"/>
    <n v="280"/>
    <s v=""/>
    <n v="1"/>
  </r>
  <r>
    <s v="五南"/>
    <s v="一起開口說唐詩(下)"/>
    <x v="0"/>
    <d v="2024-10-27T00:00:00"/>
    <n v="280"/>
    <s v="博客來"/>
    <m/>
    <m/>
    <m/>
    <s v="折價券25"/>
    <n v="280"/>
    <s v=""/>
    <n v="1"/>
  </r>
  <r>
    <s v="小光點"/>
    <s v="屁屁丹迪1"/>
    <x v="1"/>
    <d v="2024-06-10T00:00:00"/>
    <n v="217"/>
    <s v="其他"/>
    <n v="-168"/>
    <d v="2025-04-04T00:00:00"/>
    <m/>
    <m/>
    <n v="49"/>
    <n v="1"/>
    <n v="1"/>
  </r>
  <r>
    <s v="小光點"/>
    <s v="屁屁丹迪2"/>
    <x v="1"/>
    <d v="2024-06-10T00:00:00"/>
    <n v="217"/>
    <s v="其他"/>
    <n v="-168"/>
    <d v="2025-04-04T00:00:00"/>
    <m/>
    <m/>
    <n v="49"/>
    <n v="1"/>
    <n v="1"/>
  </r>
  <r>
    <s v="小光點"/>
    <s v="屁屁丹迪3"/>
    <x v="1"/>
    <d v="2024-06-10T00:00:00"/>
    <n v="217"/>
    <s v="其他"/>
    <n v="-168"/>
    <d v="2025-04-04T00:00:00"/>
    <m/>
    <m/>
    <n v="49"/>
    <n v="1"/>
    <n v="1"/>
  </r>
  <r>
    <s v="小光點"/>
    <s v="屁屁丹迪4"/>
    <x v="1"/>
    <d v="2024-06-10T00:00:00"/>
    <n v="217"/>
    <s v="其他"/>
    <n v="-168"/>
    <d v="2025-04-04T00:00:00"/>
    <m/>
    <m/>
    <n v="49"/>
    <n v="1"/>
    <n v="1"/>
  </r>
  <r>
    <s v="小光點"/>
    <s v="屁屁丹迪5"/>
    <x v="1"/>
    <d v="2024-06-10T00:00:00"/>
    <n v="217"/>
    <s v="其他"/>
    <n v="-168"/>
    <d v="2025-04-04T00:00:00"/>
    <m/>
    <m/>
    <n v="49"/>
    <n v="1"/>
    <n v="1"/>
  </r>
  <r>
    <s v="小光點"/>
    <s v="屁屁丹迪6"/>
    <x v="1"/>
    <d v="2024-06-10T00:00:00"/>
    <n v="217"/>
    <s v="其他"/>
    <n v="-168"/>
    <d v="2025-04-04T00:00:00"/>
    <m/>
    <m/>
    <n v="49"/>
    <n v="1"/>
    <n v="1"/>
  </r>
  <r>
    <s v="小光點"/>
    <s v="屁屁丹迪7"/>
    <x v="1"/>
    <d v="2024-06-10T00:00:00"/>
    <n v="217"/>
    <s v="其他"/>
    <n v="-168"/>
    <d v="2025-04-04T00:00:00"/>
    <m/>
    <m/>
    <n v="49"/>
    <n v="1"/>
    <n v="1"/>
  </r>
  <r>
    <s v="小角落文化"/>
    <s v="漫畫版名人傳 奠定AI基礎的天才數學家—艾倫.圖靈"/>
    <x v="0"/>
    <d v="2025-11-06T00:00:00"/>
    <n v="189"/>
    <s v="MOMO"/>
    <m/>
    <m/>
    <m/>
    <m/>
    <n v="189"/>
    <s v=""/>
    <n v="1"/>
  </r>
  <r>
    <s v="小角落文化"/>
    <s v="漫畫版名人傳 諾貝爾—寄託和平與未來於獎項"/>
    <x v="0"/>
    <d v="2025-11-06T00:00:00"/>
    <n v="189"/>
    <s v="MOMO"/>
    <m/>
    <m/>
    <m/>
    <m/>
    <n v="189"/>
    <s v=""/>
    <n v="1"/>
  </r>
  <r>
    <s v="小角落文化"/>
    <s v="奇怪的無人商店1：奇怪的無人冰店"/>
    <x v="0"/>
    <d v="2025-12-03T00:00:00"/>
    <n v="198"/>
    <s v="MOMO"/>
    <m/>
    <m/>
    <m/>
    <m/>
    <n v="198"/>
    <s v=""/>
    <n v="1"/>
  </r>
  <r>
    <s v="步步"/>
    <s v="三隻小鼴鼠：夏日森林套書&lt;螢光山林&gt;"/>
    <x v="0"/>
    <d v="2025-11-10T00:00:00"/>
    <n v="194.66666666666666"/>
    <s v="MOMO"/>
    <m/>
    <m/>
    <m/>
    <m/>
    <n v="194.66666666666666"/>
    <s v=""/>
    <n v="1"/>
  </r>
  <r>
    <s v="步步"/>
    <s v="三隻小鼴鼠：夏日森林套書&lt;蟬鳴聲林&gt;"/>
    <x v="0"/>
    <d v="2025-11-10T00:00:00"/>
    <n v="194.66666666666666"/>
    <s v="MOMO"/>
    <m/>
    <m/>
    <m/>
    <m/>
    <n v="194.66666666666666"/>
    <s v=""/>
    <n v="1"/>
  </r>
  <r>
    <s v="步步"/>
    <s v="三隻小鼴鼠：夏日森林套書&lt;真菌森林&gt;"/>
    <x v="0"/>
    <d v="2025-11-10T00:00:00"/>
    <n v="194.66666666666666"/>
    <s v="MOMO"/>
    <m/>
    <m/>
    <m/>
    <m/>
    <n v="194.66666666666666"/>
    <s v=""/>
    <n v="1"/>
  </r>
  <r>
    <s v="南門"/>
    <s v="西遊記1"/>
    <x v="1"/>
    <d v="2024-03-16T00:00:00"/>
    <n v="65"/>
    <s v="南門"/>
    <n v="-72.3"/>
    <d v="2025-12-18T00:00:00"/>
    <m/>
    <m/>
    <n v="-7.2999999999999972"/>
    <n v="1"/>
    <n v="1"/>
  </r>
  <r>
    <s v="南門"/>
    <s v="西遊記2"/>
    <x v="1"/>
    <d v="2024-03-16T00:00:00"/>
    <n v="65"/>
    <s v="南門"/>
    <n v="-72.3"/>
    <d v="2025-12-18T00:00:00"/>
    <m/>
    <m/>
    <n v="-7.2999999999999972"/>
    <n v="1"/>
    <n v="1"/>
  </r>
  <r>
    <s v="南門"/>
    <s v="西遊記3-10"/>
    <x v="2"/>
    <d v="2024-03-16T00:00:00"/>
    <n v="520"/>
    <s v="南門"/>
    <n v="-578.4"/>
    <d v="2025-12-18T00:00:00"/>
    <m/>
    <m/>
    <n v="-58.399999999999977"/>
    <n v="0"/>
    <n v="8"/>
  </r>
  <r>
    <s v="南門"/>
    <s v="三國演義10本"/>
    <x v="2"/>
    <d v="2024-03-16T00:00:00"/>
    <n v="650"/>
    <s v="南門"/>
    <n v="-739"/>
    <d v="2025-12-10T00:00:00"/>
    <m/>
    <m/>
    <n v="-89"/>
    <n v="0"/>
    <n v="10"/>
  </r>
  <r>
    <s v="南門"/>
    <s v="中國孩子故事100本"/>
    <x v="1"/>
    <d v="2023-12-27T00:00:00"/>
    <n v="3240"/>
    <s v="南門"/>
    <n v="-2423"/>
    <d v="2024-04-21T00:00:00"/>
    <m/>
    <m/>
    <n v="817"/>
    <n v="100"/>
    <n v="100"/>
  </r>
  <r>
    <s v="南門"/>
    <s v="小牛頓-地球上的水1"/>
    <x v="1"/>
    <d v="2023-11-03T00:00:00"/>
    <n v="83.055555555555557"/>
    <s v="南門"/>
    <m/>
    <m/>
    <d v="2025-11-09T00:00:00"/>
    <m/>
    <n v="83.055555555555557"/>
    <n v="1"/>
    <n v="1"/>
  </r>
  <r>
    <s v="南門"/>
    <s v="小牛頓-深海潛將—抹香鯨2"/>
    <x v="1"/>
    <d v="2023-11-03T00:00:00"/>
    <n v="83.055555555555557"/>
    <s v="南門"/>
    <m/>
    <m/>
    <d v="2025-11-11T00:00:00"/>
    <m/>
    <n v="83.055555555555557"/>
    <n v="1"/>
    <n v="1"/>
  </r>
  <r>
    <s v="南門"/>
    <s v="小牛頓-最勤勞的小昆蟲—螞蟻3"/>
    <x v="1"/>
    <d v="2023-11-03T00:00:00"/>
    <n v="83.055555555555557"/>
    <s v="南門"/>
    <m/>
    <m/>
    <d v="2025-11-13T00:00:00"/>
    <m/>
    <n v="83.055555555555557"/>
    <n v="1"/>
    <n v="1"/>
  </r>
  <r>
    <s v="南門"/>
    <s v="小牛頓-戰力高強的螳螂4"/>
    <x v="1"/>
    <d v="2023-11-03T00:00:00"/>
    <n v="83.055555555555557"/>
    <s v="南門"/>
    <m/>
    <m/>
    <d v="2026-03-19T00:00:00"/>
    <m/>
    <n v="83.055555555555557"/>
    <n v="1"/>
    <n v="1"/>
  </r>
  <r>
    <s v="南門"/>
    <s v="小牛頓32本"/>
    <x v="0"/>
    <d v="2023-11-03T00:00:00"/>
    <n v="2657.7777777777778"/>
    <s v="南門"/>
    <m/>
    <m/>
    <m/>
    <m/>
    <n v="2657.7777777777778"/>
    <s v=""/>
    <n v="32"/>
  </r>
  <r>
    <s v="南門"/>
    <s v="孩子的第一套地理、歷史"/>
    <x v="0"/>
    <d v="2023-10-16T00:00:00"/>
    <n v="1210"/>
    <s v="南門"/>
    <m/>
    <m/>
    <m/>
    <m/>
    <n v="1210"/>
    <s v=""/>
    <n v="20"/>
  </r>
  <r>
    <s v="南門"/>
    <s v="漫畫科學超有趣8本"/>
    <x v="2"/>
    <d v="2023-10-16T00:00:00"/>
    <n v="890"/>
    <s v="南門"/>
    <n v="-809"/>
    <d v="2026-03-30T00:00:00"/>
    <m/>
    <m/>
    <n v="81"/>
    <n v="0"/>
    <n v="8"/>
  </r>
  <r>
    <s v="南門"/>
    <s v="閱讀啟蒙橋樑書15本"/>
    <x v="1"/>
    <d v="2023-09-13T00:00:00"/>
    <n v="799"/>
    <s v="南門"/>
    <n v="-573"/>
    <m/>
    <m/>
    <m/>
    <n v="226"/>
    <n v="15"/>
    <n v="15"/>
  </r>
  <r>
    <s v="幼福"/>
    <s v="神話最強王圖鑑"/>
    <x v="0"/>
    <d v="2025-12-03T00:00:00"/>
    <n v="185"/>
    <s v="MOMO"/>
    <m/>
    <m/>
    <m/>
    <m/>
    <n v="185"/>
    <s v=""/>
    <n v="1"/>
  </r>
  <r>
    <s v="幼福"/>
    <s v="恐龍戰隊最強王圖鑑"/>
    <x v="1"/>
    <d v="2026-03-07T00:00:00"/>
    <n v="185"/>
    <s v="MOMO"/>
    <m/>
    <m/>
    <d v="2026-03-07T00:00:00"/>
    <m/>
    <n v="185"/>
    <n v="1"/>
    <n v="1"/>
  </r>
  <r>
    <s v="晨星"/>
    <s v="我的弟弟叫哪吒1 三千年之約"/>
    <x v="0"/>
    <d v="2025-12-23T00:00:00"/>
    <n v="231"/>
    <s v="團書"/>
    <m/>
    <m/>
    <m/>
    <s v="5本66折再送1本"/>
    <n v="231"/>
    <m/>
    <n v="1"/>
  </r>
  <r>
    <s v="晨星"/>
    <s v="歡迎光臨惡夢雜貨店：可怕的癢癢粉"/>
    <x v="1"/>
    <d v="2025-12-23T00:00:00"/>
    <n v="231"/>
    <s v="團書"/>
    <m/>
    <m/>
    <d v="2025-12-27T00:00:00"/>
    <s v="5本66折再送1本"/>
    <n v="231"/>
    <n v="1"/>
    <n v="1"/>
  </r>
  <r>
    <s v="晨星"/>
    <s v="歡迎光臨惡夢雜貨店：冰天雪地大毛怪"/>
    <x v="1"/>
    <d v="2025-12-23T00:00:00"/>
    <n v="231"/>
    <s v="團書"/>
    <m/>
    <m/>
    <d v="2025-12-28T00:00:00"/>
    <s v="5本66折再送1本"/>
    <n v="231"/>
    <n v="1"/>
    <n v="1"/>
  </r>
  <r>
    <s v="晨星"/>
    <s v="台灣民俗故事1：十二生肖大車拼"/>
    <x v="0"/>
    <d v="2025-12-23T00:00:00"/>
    <n v="165"/>
    <s v="團書"/>
    <m/>
    <m/>
    <m/>
    <s v="5本66折再送1本"/>
    <n v="165"/>
    <s v=""/>
    <n v="1"/>
  </r>
  <r>
    <s v="晨星"/>
    <s v="氣象象的氣象調查筆記"/>
    <x v="0"/>
    <d v="2025-12-23T00:00:00"/>
    <n v="277"/>
    <s v="團書"/>
    <m/>
    <m/>
    <m/>
    <s v="5本66折再送1本"/>
    <n v="277"/>
    <s v=""/>
    <n v="1"/>
  </r>
  <r>
    <s v="晨星"/>
    <s v="為什麼只有地球能住人？因為土壤、空氣、火和水"/>
    <x v="0"/>
    <d v="2025-12-23T00:00:00"/>
    <n v="0"/>
    <s v="團書"/>
    <m/>
    <m/>
    <m/>
    <s v="5本66折再送1本"/>
    <n v="0"/>
    <s v=""/>
    <n v="1"/>
  </r>
  <r>
    <s v="晨星"/>
    <s v="悠哉悠哉危險生物圖鑑"/>
    <x v="1"/>
    <d v="2025-12-23T00:00:00"/>
    <n v="185"/>
    <s v="團書"/>
    <m/>
    <m/>
    <d v="2026-01-02T00:00:00"/>
    <s v="5本66折再送1本"/>
    <n v="185"/>
    <n v="1"/>
    <n v="1"/>
  </r>
  <r>
    <s v="晨星"/>
    <s v="悠哉悠哉深海生物圖鑑"/>
    <x v="1"/>
    <d v="2025-12-23T00:00:00"/>
    <n v="185"/>
    <s v="團書"/>
    <m/>
    <m/>
    <d v="2026-01-10T00:00:00"/>
    <s v="5本66折再送1本"/>
    <n v="185"/>
    <n v="1"/>
    <n v="1"/>
  </r>
  <r>
    <s v="晨星"/>
    <s v="一天一則，發現366個人體有趣知識"/>
    <x v="0"/>
    <d v="2025-12-23T00:00:00"/>
    <n v="350"/>
    <s v="團書"/>
    <m/>
    <m/>
    <m/>
    <s v="5本66折再送1本"/>
    <n v="350"/>
    <s v=""/>
    <n v="1"/>
  </r>
  <r>
    <s v="晨星"/>
    <s v="漫畫圖解—地球環境與SDGs3防止地球暖化！"/>
    <x v="0"/>
    <d v="2025-12-23T00:00:00"/>
    <n v="264"/>
    <s v="團書"/>
    <m/>
    <m/>
    <m/>
    <s v="5本66折再送1本"/>
    <n v="264"/>
    <s v=""/>
    <n v="1"/>
  </r>
  <r>
    <s v="晨星"/>
    <s v="小朋友的衛生學：生活環境×預防疾病×食品安全"/>
    <x v="0"/>
    <d v="2025-12-23T00:00:00"/>
    <n v="251"/>
    <s v="團書"/>
    <m/>
    <m/>
    <m/>
    <s v="5本66折再送1本"/>
    <n v="251"/>
    <s v=""/>
    <n v="1"/>
  </r>
  <r>
    <s v="晨星"/>
    <s v="世界趣聞真奇妙"/>
    <x v="0"/>
    <d v="2025-12-23T00:00:00"/>
    <n v="0"/>
    <s v="團書"/>
    <m/>
    <m/>
    <m/>
    <s v="5本66折再送1本"/>
    <n v="0"/>
    <s v=""/>
    <n v="1"/>
  </r>
  <r>
    <s v="和平國際"/>
    <s v="數學除妖咒術師 妖怪馬戲團 多變的幾何圖形"/>
    <x v="0"/>
    <d v="2026-01-06T00:00:00"/>
    <n v="114"/>
    <s v="酷澎"/>
    <m/>
    <m/>
    <m/>
    <m/>
    <n v="114"/>
    <s v=""/>
    <n v="1"/>
  </r>
  <r>
    <s v="和平國際"/>
    <s v="數學除妖咒術師：友情的考驗 圖解分數、比和比率"/>
    <x v="0"/>
    <d v="2026-01-06T00:00:00"/>
    <n v="114"/>
    <s v="酷澎"/>
    <m/>
    <m/>
    <m/>
    <m/>
    <n v="114"/>
    <s v=""/>
    <n v="1"/>
  </r>
  <r>
    <s v="和平國際"/>
    <s v=" 數學除妖咒術師：解開封印 速解四則運算"/>
    <x v="0"/>
    <d v="2026-01-06T00:00:00"/>
    <n v="119"/>
    <s v="酷澎"/>
    <m/>
    <m/>
    <m/>
    <m/>
    <n v="119"/>
    <s v=""/>
    <n v="1"/>
  </r>
  <r>
    <s v="華一"/>
    <s v="孩子愛上自然課了-神奇的頭腦"/>
    <x v="1"/>
    <d v="2026-02-08T00:00:00"/>
    <n v="98"/>
    <s v="FB"/>
    <m/>
    <m/>
    <d v="2026-04-05T00:00:00"/>
    <m/>
    <n v="98"/>
    <n v="1"/>
    <n v="1"/>
  </r>
  <r>
    <s v="華一"/>
    <s v="孩子愛上自然課了-生命的誕生"/>
    <x v="1"/>
    <d v="2026-02-08T00:00:00"/>
    <n v="98"/>
    <s v="FB"/>
    <m/>
    <m/>
    <d v="2026-04-05T00:00:00"/>
    <m/>
    <n v="98"/>
    <n v="1"/>
    <n v="1"/>
  </r>
  <r>
    <s v="華一"/>
    <s v="孩子愛上自然課了-身體裡的器官"/>
    <x v="1"/>
    <d v="2026-02-08T00:00:00"/>
    <n v="98"/>
    <s v="FB"/>
    <m/>
    <m/>
    <d v="2026-03-30T00:00:00"/>
    <m/>
    <n v="98"/>
    <n v="1"/>
    <n v="1"/>
  </r>
  <r>
    <s v="華一"/>
    <s v="孩子愛上自然課了-五官的故事"/>
    <x v="1"/>
    <d v="2026-02-08T00:00:00"/>
    <n v="98"/>
    <s v="FB"/>
    <m/>
    <m/>
    <d v="2026-03-29T00:00:00"/>
    <m/>
    <n v="98"/>
    <n v="1"/>
    <n v="1"/>
  </r>
  <r>
    <s v="華一"/>
    <s v="孩子愛上自然課了-血液的本事"/>
    <x v="1"/>
    <d v="2026-02-08T00:00:00"/>
    <n v="98"/>
    <s v="FB"/>
    <m/>
    <m/>
    <d v="2026-03-28T00:00:00"/>
    <m/>
    <n v="98"/>
    <n v="1"/>
    <n v="1"/>
  </r>
  <r>
    <s v="小麥田"/>
    <s v="Flip-Thinking！來自荷蘭的翻轉思考法"/>
    <x v="0"/>
    <d v="2026-03-10T00:00:00"/>
    <n v="99"/>
    <s v="團書"/>
    <m/>
    <m/>
    <m/>
    <m/>
    <n v="99"/>
    <s v=""/>
    <n v="1"/>
  </r>
  <r>
    <s v="小麥田"/>
    <s v="細菌偵查隊"/>
    <x v="0"/>
    <d v="2026-03-10T00:00:00"/>
    <n v="221"/>
    <s v="團書"/>
    <m/>
    <m/>
    <m/>
    <s v="折150元"/>
    <n v="221"/>
    <s v=""/>
    <n v="1"/>
  </r>
  <r>
    <s v="小麥田"/>
    <s v="漫畫量子力學2-原子世界大探索"/>
    <x v="0"/>
    <d v="2026-03-10T00:00:00"/>
    <n v="274"/>
    <s v="團書"/>
    <m/>
    <m/>
    <m/>
    <s v="折150元"/>
    <n v="274"/>
    <s v=""/>
    <n v="1"/>
  </r>
  <r>
    <s v="小麥田"/>
    <s v="漫畫量子力學2-光的秘密大公開"/>
    <x v="0"/>
    <d v="2026-03-10T00:00:00"/>
    <n v="274"/>
    <s v="團書"/>
    <m/>
    <m/>
    <m/>
    <s v="折150元"/>
    <n v="274"/>
    <s v=""/>
    <n v="1"/>
  </r>
  <r>
    <s v="小麥田"/>
    <s v="我會自己做計畫"/>
    <x v="0"/>
    <d v="2026-03-10T00:00:00"/>
    <n v="181"/>
    <s v="團書"/>
    <m/>
    <m/>
    <m/>
    <s v="折150元"/>
    <n v="181"/>
    <s v=""/>
    <n v="1"/>
  </r>
  <r>
    <s v="小麥田"/>
    <s v="長大後的你想成為什麼樣的人？"/>
    <x v="0"/>
    <d v="2026-03-10T00:00:00"/>
    <n v="247"/>
    <s v="團書"/>
    <m/>
    <m/>
    <m/>
    <s v="折150元"/>
    <n v="247"/>
    <s v=""/>
    <n v="1"/>
  </r>
  <r>
    <s v="小麥田"/>
    <s v="奇蹟機器狗"/>
    <x v="0"/>
    <d v="2026-03-10T00:00:00"/>
    <n v="0"/>
    <s v="團書"/>
    <m/>
    <m/>
    <m/>
    <m/>
    <n v="0"/>
    <s v=""/>
    <n v="1"/>
  </r>
  <r>
    <s v="小麥田"/>
    <s v="書怎麼做出來的"/>
    <x v="0"/>
    <d v="2026-03-10T00:00:00"/>
    <n v="0"/>
    <s v="團書"/>
    <m/>
    <m/>
    <m/>
    <m/>
    <n v="0"/>
    <s v=""/>
    <n v="1"/>
  </r>
  <r>
    <s v="小麥田"/>
    <s v="強尼的神奇種子"/>
    <x v="0"/>
    <d v="2026-03-10T00:00:00"/>
    <n v="0"/>
    <s v="團書"/>
    <m/>
    <m/>
    <m/>
    <m/>
    <n v="0"/>
    <s v=""/>
    <n v="1"/>
  </r>
  <r>
    <s v="聯經"/>
    <s v="砲臺歷險記"/>
    <x v="1"/>
    <d v="2025-10-20T00:00:00"/>
    <n v="143"/>
    <s v="團書"/>
    <m/>
    <m/>
    <d v="2026-04-06T00:00:00"/>
    <m/>
    <n v="143"/>
    <n v="1"/>
    <n v="1"/>
  </r>
  <r>
    <s v="字畝文化"/>
    <s v="為什麼要睡覺？──關於睡眠的20個奧妙知識！"/>
    <x v="0"/>
    <d v="2026-04-14T00:00:00"/>
    <n v="222.72727272727272"/>
    <s v="讀共"/>
    <m/>
    <m/>
    <m/>
    <m/>
    <n v="222.72727272727272"/>
    <s v=""/>
    <n v="1"/>
  </r>
  <r>
    <m/>
    <m/>
    <x v="0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親子天下"/>
    <s v="學校沒教的心理課：自我成長篇—穩定情緒、突破盲點，華麗變身人氣王"/>
    <m/>
    <d v="2025-11-04T00:00:00"/>
    <n v="200"/>
    <s v="親子天下"/>
    <x v="0"/>
    <m/>
    <m/>
    <m/>
    <n v="200"/>
    <s v=""/>
    <n v="1"/>
  </r>
  <r>
    <s v="親子天下"/>
    <s v="穿越驚奇圖書館1：被封印的格林兄弟"/>
    <m/>
    <d v="2025-11-04T00:00:00"/>
    <n v="174"/>
    <s v="親子天下"/>
    <x v="0"/>
    <m/>
    <m/>
    <m/>
    <n v="174"/>
    <s v=""/>
    <n v="1"/>
  </r>
  <r>
    <s v="親子天下"/>
    <s v="奇想聊齋1"/>
    <m/>
    <d v="2025-10-22T00:00:00"/>
    <n v="160"/>
    <s v="親子天下"/>
    <x v="0"/>
    <m/>
    <m/>
    <s v="有使用點數及優惠券300"/>
    <n v="160"/>
    <s v=""/>
    <n v="1"/>
  </r>
  <r>
    <s v="親子天下"/>
    <s v="奇想聊齋2"/>
    <m/>
    <d v="2025-10-22T00:00:00"/>
    <n v="160"/>
    <s v="親子天下"/>
    <x v="0"/>
    <m/>
    <m/>
    <s v="有使用點數及優惠券300"/>
    <n v="160"/>
    <s v=""/>
    <n v="1"/>
  </r>
  <r>
    <s v="親子天下"/>
    <s v="奇想聊齋3"/>
    <m/>
    <d v="2025-10-22T00:00:00"/>
    <n v="160"/>
    <s v="親子天下"/>
    <x v="0"/>
    <m/>
    <m/>
    <s v="有使用點數及優惠券300"/>
    <n v="160"/>
    <s v=""/>
    <n v="1"/>
  </r>
  <r>
    <s v="親子天下"/>
    <s v="奇想三國1：九命喜鵲救曹操"/>
    <m/>
    <d v="2025-10-22T00:00:00"/>
    <n v="149"/>
    <s v="親子天下"/>
    <x v="0"/>
    <m/>
    <m/>
    <s v="有使用點數及優惠券300"/>
    <n v="149"/>
    <s v=""/>
    <n v="1"/>
  </r>
  <r>
    <s v="親子天下"/>
    <s v="身體怎麼了"/>
    <s v="V"/>
    <d v="2025-10-22T00:00:00"/>
    <n v="221.5"/>
    <s v="親子天下"/>
    <x v="1"/>
    <d v="2026-02-02T00:00:00"/>
    <d v="2025-11-12T00:00:00"/>
    <s v="有使用點數及優惠券300"/>
    <n v="-28"/>
    <n v="1"/>
    <n v="1"/>
  </r>
  <r>
    <s v="親子天下"/>
    <s v="生病怎麼辦"/>
    <s v="V"/>
    <d v="2025-10-22T00:00:00"/>
    <n v="221.5"/>
    <s v="親子天下"/>
    <x v="1"/>
    <d v="2026-02-02T00:00:00"/>
    <d v="2025-11-11T00:00:00"/>
    <s v="有使用點數及優惠券300"/>
    <n v="-28"/>
    <n v="1"/>
    <n v="1"/>
  </r>
  <r>
    <s v="親子天下"/>
    <s v="伊豬豬和魯豬豬異想天開腦治大開古怪故事集：勇敢的勇太"/>
    <s v="V"/>
    <d v="2025-10-21T00:00:00"/>
    <n v="164"/>
    <s v="親子天下"/>
    <x v="2"/>
    <d v="2026-03-15T00:00:00"/>
    <d v="2025-10-24T00:00:00"/>
    <s v="有使用3.1萬點及優惠券300"/>
    <n v="-105"/>
    <n v="1"/>
    <n v="1"/>
  </r>
  <r>
    <s v="親子天下"/>
    <s v="最想吃的漫畫世界史：好味甜點時光機"/>
    <m/>
    <d v="2025-10-21T00:00:00"/>
    <n v="187"/>
    <s v="親子天下"/>
    <x v="0"/>
    <m/>
    <m/>
    <s v="有使用3.1萬點及優惠券300"/>
    <n v="187"/>
    <s v=""/>
    <n v="1"/>
  </r>
  <r>
    <s v="親子天下"/>
    <s v="最想吃的漫畫世界史：好味食品實驗室"/>
    <m/>
    <d v="2025-10-21T00:00:00"/>
    <n v="187"/>
    <s v="親子天下"/>
    <x v="0"/>
    <m/>
    <m/>
    <s v="有使用3.1萬點及優惠券300"/>
    <n v="187"/>
    <s v=""/>
    <n v="1"/>
  </r>
  <r>
    <s v="親子天下"/>
    <s v="汪汪狗圖解生活數學套書-為什麼電梯沒有0樓？"/>
    <s v="V"/>
    <d v="2025-10-21T00:00:00"/>
    <n v="131"/>
    <s v="親子天下"/>
    <x v="0"/>
    <m/>
    <d v="2025-12-20T00:00:00"/>
    <s v="有使用3.1萬點及優惠券300"/>
    <n v="131"/>
    <n v="1"/>
    <n v="1"/>
  </r>
  <r>
    <s v="親子天下"/>
    <s v="汪汪狗圖解生活數學套書-一眨眼的時間是幾秒？"/>
    <s v="V"/>
    <d v="2025-10-21T00:00:00"/>
    <n v="131"/>
    <s v="親子天下"/>
    <x v="0"/>
    <m/>
    <d v="2025-12-20T00:00:00"/>
    <s v="有使用3.1萬點及優惠券300"/>
    <n v="131"/>
    <n v="1"/>
    <n v="1"/>
  </r>
  <r>
    <s v="親子天下"/>
    <s v="最有梗的人體教室：針筒兄弟與他們的器官小夥伴"/>
    <m/>
    <d v="2025-10-01T00:00:00"/>
    <n v="215"/>
    <s v="親子天下"/>
    <x v="0"/>
    <m/>
    <m/>
    <s v="使用6700點及優惠券100元"/>
    <n v="215"/>
    <s v=""/>
    <n v="1"/>
  </r>
  <r>
    <s v="親子天下"/>
    <s v="達克比辦案1"/>
    <m/>
    <d v="2025-06-09T00:00:00"/>
    <n v="169.2"/>
    <s v="親子天下"/>
    <x v="0"/>
    <m/>
    <m/>
    <m/>
    <n v="169.2"/>
    <s v=""/>
    <n v="1"/>
  </r>
  <r>
    <s v="親子天下"/>
    <s v="達克比辦案2"/>
    <m/>
    <d v="2025-06-09T00:00:00"/>
    <n v="169.2"/>
    <s v="親子天下"/>
    <x v="0"/>
    <m/>
    <m/>
    <m/>
    <n v="169.2"/>
    <s v=""/>
    <n v="1"/>
  </r>
  <r>
    <s v="親子天下"/>
    <s v="達克比辦案3"/>
    <m/>
    <d v="2025-06-09T00:00:00"/>
    <n v="169.2"/>
    <s v="親子天下"/>
    <x v="0"/>
    <m/>
    <m/>
    <m/>
    <n v="169.2"/>
    <s v=""/>
    <n v="1"/>
  </r>
  <r>
    <s v="親子天下"/>
    <s v="達克比辦案4"/>
    <m/>
    <d v="2025-06-09T00:00:00"/>
    <n v="169.2"/>
    <s v="親子天下"/>
    <x v="0"/>
    <m/>
    <m/>
    <m/>
    <n v="169.2"/>
    <s v=""/>
    <n v="1"/>
  </r>
  <r>
    <s v="親子天下"/>
    <s v="達克比辦案5"/>
    <m/>
    <d v="2025-06-09T00:00:00"/>
    <n v="169.2"/>
    <s v="親子天下"/>
    <x v="0"/>
    <m/>
    <m/>
    <m/>
    <n v="169.2"/>
    <s v=""/>
    <n v="1"/>
  </r>
  <r>
    <s v="親子天下"/>
    <s v="科學不思議1：點亮營火蟲之光"/>
    <m/>
    <d v="2025-04-08T00:00:00"/>
    <n v="183"/>
    <s v="親子天下"/>
    <x v="0"/>
    <m/>
    <m/>
    <m/>
    <n v="183"/>
    <s v=""/>
    <n v="1"/>
  </r>
  <r>
    <s v="親子天下"/>
    <s v="科學不思議2：生理時鐘滴答滴"/>
    <m/>
    <d v="2025-04-08T00:00:00"/>
    <n v="183"/>
    <s v="親子天下"/>
    <x v="0"/>
    <m/>
    <m/>
    <m/>
    <n v="183"/>
    <s v=""/>
    <n v="1"/>
  </r>
  <r>
    <s v="親子天下"/>
    <s v="科學不思議3：神奇植物吹泡泡"/>
    <m/>
    <d v="2025-04-08T00:00:00"/>
    <n v="184"/>
    <s v="親子天下"/>
    <x v="0"/>
    <m/>
    <m/>
    <m/>
    <n v="184"/>
    <s v=""/>
    <n v="1"/>
  </r>
  <r>
    <s v="親子天下"/>
    <s v="科學不思議4：好想去月球"/>
    <m/>
    <d v="2025-04-08T00:00:00"/>
    <n v="185"/>
    <s v="親子天下"/>
    <x v="0"/>
    <m/>
    <m/>
    <m/>
    <n v="185"/>
    <s v=""/>
    <n v="1"/>
  </r>
  <r>
    <s v="親子天下"/>
    <s v="科學不思議5：尾巴大調查"/>
    <m/>
    <d v="2025-04-08T00:00:00"/>
    <n v="185"/>
    <s v="親子天下"/>
    <x v="0"/>
    <m/>
    <m/>
    <m/>
    <n v="185"/>
    <s v=""/>
    <n v="1"/>
  </r>
  <r>
    <s v="親子天下"/>
    <s v="科學不思議6：昆蟲量體重"/>
    <m/>
    <d v="2025-04-08T00:00:00"/>
    <n v="185"/>
    <s v="親子天下"/>
    <x v="0"/>
    <m/>
    <m/>
    <m/>
    <n v="185"/>
    <s v=""/>
    <n v="1"/>
  </r>
  <r>
    <s v="親子天下"/>
    <s v="我愛奇怪阿公"/>
    <s v="V"/>
    <d v="2025-04-08T00:00:00"/>
    <n v="211"/>
    <s v="親子天下"/>
    <x v="3"/>
    <d v="2025-11-12T00:00:00"/>
    <m/>
    <m/>
    <n v="1.5"/>
    <n v="1"/>
    <n v="1"/>
  </r>
  <r>
    <s v="親子天下"/>
    <s v="我愛奇怪阿嬤"/>
    <s v="V"/>
    <d v="2025-04-08T00:00:00"/>
    <n v="211"/>
    <s v="親子天下"/>
    <x v="3"/>
    <d v="2025-11-12T00:00:00"/>
    <m/>
    <m/>
    <n v="1.5"/>
    <n v="1"/>
    <n v="1"/>
  </r>
  <r>
    <s v="親子天下"/>
    <s v="學思達小學堂2：都是我的"/>
    <s v="V"/>
    <d v="2025-04-08T00:00:00"/>
    <n v="174"/>
    <s v="親子天下"/>
    <x v="0"/>
    <m/>
    <d v="2025-10-12T00:00:00"/>
    <m/>
    <n v="174"/>
    <n v="1"/>
    <n v="1"/>
  </r>
  <r>
    <s v="親子天下"/>
    <s v="快閃貓生活謎語童話1：神祕山有鬼？"/>
    <s v="V"/>
    <d v="2025-04-08T00:00:00"/>
    <n v="158"/>
    <s v="親子天下"/>
    <x v="4"/>
    <d v="2025-09-22T00:00:00"/>
    <m/>
    <m/>
    <n v="-7.3333333333333428"/>
    <n v="1"/>
    <n v="1"/>
  </r>
  <r>
    <s v="親子天下"/>
    <s v="快閃貓生活謎語童話2：滾滾豬大富翁"/>
    <s v="V"/>
    <d v="2025-04-08T00:00:00"/>
    <n v="158"/>
    <s v="親子天下"/>
    <x v="4"/>
    <d v="2025-09-22T00:00:00"/>
    <m/>
    <m/>
    <n v="-7.3333333333333428"/>
    <n v="1"/>
    <n v="1"/>
  </r>
  <r>
    <s v="親子天下"/>
    <s v="快閃貓生活謎語童話3：超級難唸的安眠咒"/>
    <s v="V"/>
    <d v="2025-04-08T00:00:00"/>
    <n v="170"/>
    <s v="親子天下"/>
    <x v="4"/>
    <d v="2025-09-22T00:00:00"/>
    <m/>
    <m/>
    <n v="4.6666666666666572"/>
    <n v="1"/>
    <n v="1"/>
  </r>
  <r>
    <s v="親子天下"/>
    <s v="奇想三十六計套書1"/>
    <m/>
    <d v="2025-04-08T00:00:00"/>
    <n v="176.66666666666666"/>
    <s v="親子天下"/>
    <x v="0"/>
    <m/>
    <m/>
    <m/>
    <n v="176.66666666666666"/>
    <s v=""/>
    <n v="1"/>
  </r>
  <r>
    <s v="親子天下"/>
    <s v="奇想三十六計套書2"/>
    <m/>
    <d v="2025-04-08T00:00:00"/>
    <n v="176.66666666666666"/>
    <s v="親子天下"/>
    <x v="0"/>
    <m/>
    <m/>
    <m/>
    <n v="176.66666666666666"/>
    <s v=""/>
    <n v="1"/>
  </r>
  <r>
    <s v="親子天下"/>
    <s v="奇想三十六計套書3"/>
    <m/>
    <d v="2025-04-08T00:00:00"/>
    <n v="176.66666666666666"/>
    <s v="親子天下"/>
    <x v="0"/>
    <m/>
    <m/>
    <m/>
    <n v="176.66666666666666"/>
    <s v=""/>
    <n v="1"/>
  </r>
  <r>
    <s v="親子天下"/>
    <s v="小熊兄妹的點子屋1：點子屋新開張"/>
    <s v="V"/>
    <d v="2025-04-08T00:00:00"/>
    <n v="151"/>
    <s v="親子天下"/>
    <x v="5"/>
    <d v="2025-12-03T00:00:00"/>
    <d v="2025-11-08T00:00:00"/>
    <m/>
    <n v="-0.33333333333334281"/>
    <n v="1"/>
    <n v="1"/>
  </r>
  <r>
    <s v="親子天下"/>
    <s v="小熊兄妹的點子屋2：不能說的三句話"/>
    <s v="V"/>
    <d v="2025-04-08T00:00:00"/>
    <n v="151"/>
    <s v="親子天下"/>
    <x v="5"/>
    <d v="2025-12-03T00:00:00"/>
    <d v="2025-11-09T00:00:00"/>
    <m/>
    <n v="-0.33333333333334281"/>
    <n v="1"/>
    <n v="1"/>
  </r>
  <r>
    <s v="親子天下"/>
    <s v="小熊兄妹的點子屋3：超愛睏魔咒大作戰"/>
    <s v="V"/>
    <d v="2025-04-08T00:00:00"/>
    <n v="151"/>
    <s v="親子天下"/>
    <x v="5"/>
    <d v="2025-12-03T00:00:00"/>
    <d v="2025-11-10T00:00:00"/>
    <m/>
    <n v="-0.33333333333334281"/>
    <n v="1"/>
    <n v="1"/>
  </r>
  <r>
    <s v="親子天下"/>
    <s v="家守神1：暗藏神祕的百年之屋"/>
    <m/>
    <d v="2025-03-12T00:00:00"/>
    <n v="220"/>
    <s v="親子天下"/>
    <x v="0"/>
    <m/>
    <m/>
    <m/>
    <n v="220"/>
    <s v=""/>
    <n v="1"/>
  </r>
  <r>
    <s v="親子天下"/>
    <s v="狐狸一族心探險套書1"/>
    <s v="V"/>
    <d v="2025-03-12T00:00:00"/>
    <n v="176.33333333333334"/>
    <s v="親子天下"/>
    <x v="6"/>
    <d v="2025-10-31T00:00:00"/>
    <m/>
    <m/>
    <n v="-2"/>
    <n v="1"/>
    <n v="1"/>
  </r>
  <r>
    <s v="親子天下"/>
    <s v="狐狸一族心探險套書2"/>
    <s v="V"/>
    <d v="2025-03-12T00:00:00"/>
    <n v="176.33333333333334"/>
    <s v="親子天下"/>
    <x v="6"/>
    <d v="2025-10-31T00:00:00"/>
    <m/>
    <m/>
    <n v="-2"/>
    <n v="1"/>
    <n v="1"/>
  </r>
  <r>
    <s v="親子天下"/>
    <s v="狐狸一族心探險套書3"/>
    <s v="V"/>
    <d v="2025-03-12T00:00:00"/>
    <n v="176.33333333333334"/>
    <s v="親子天下"/>
    <x v="6"/>
    <d v="2025-10-31T00:00:00"/>
    <m/>
    <m/>
    <n v="-2"/>
    <n v="1"/>
    <n v="1"/>
  </r>
  <r>
    <s v="親子天下"/>
    <s v="妙妙喵圖解生活科學1：消失的便便"/>
    <s v="V"/>
    <d v="2025-11-04T00:00:00"/>
    <n v="160"/>
    <s v="親子天下"/>
    <x v="0"/>
    <m/>
    <d v="2026-01-11T00:00:00"/>
    <m/>
    <n v="160"/>
    <n v="1"/>
    <n v="1"/>
  </r>
  <r>
    <s v="親子天下"/>
    <s v="妙妙喵圖解生活科學2：超能微波爐"/>
    <s v="V"/>
    <d v="2025-10-17T00:00:00"/>
    <n v="259"/>
    <s v="博客來"/>
    <x v="0"/>
    <m/>
    <d v="2025-10-12T00:00:00"/>
    <m/>
    <n v="259"/>
    <n v="1"/>
    <n v="1"/>
  </r>
  <r>
    <s v="親子天下"/>
    <s v="妙妙喵圖解生活科學3：神奇測謊機"/>
    <s v="V"/>
    <d v="2025-03-12T00:00:00"/>
    <n v="202"/>
    <s v="親子天下"/>
    <x v="0"/>
    <m/>
    <d v="2026-01-14T00:00:00"/>
    <m/>
    <n v="202"/>
    <n v="1"/>
    <n v="1"/>
  </r>
  <r>
    <s v="親子天下"/>
    <s v="妙妙喵圖解生活科學4：閃電避雷針"/>
    <s v="V"/>
    <d v="2025-11-04T00:00:00"/>
    <n v="177"/>
    <s v="親子天下"/>
    <x v="0"/>
    <m/>
    <d v="2025-11-30T00:00:00"/>
    <m/>
    <n v="177"/>
    <n v="1"/>
    <n v="1"/>
  </r>
  <r>
    <s v="親子天下"/>
    <s v="君偉的怪奇報告"/>
    <m/>
    <d v="2025-11-04T00:00:00"/>
    <n v="131"/>
    <s v="親子天下"/>
    <x v="0"/>
    <m/>
    <m/>
    <m/>
    <n v="131"/>
    <s v=""/>
    <n v="1"/>
  </r>
  <r>
    <s v="親子天下"/>
    <s v="君偉的節日報告"/>
    <s v="V"/>
    <d v="2025-02-09T00:00:00"/>
    <n v="176"/>
    <s v="親子天下"/>
    <x v="0"/>
    <m/>
    <d v="2025-11-17T00:00:00"/>
    <m/>
    <n v="176"/>
    <n v="1"/>
    <n v="1"/>
  </r>
  <r>
    <s v="親子天下"/>
    <s v="暴龍時光機"/>
    <s v="V"/>
    <d v="2025-02-09T00:00:00"/>
    <n v="164"/>
    <s v="親子天下"/>
    <x v="0"/>
    <m/>
    <m/>
    <m/>
    <n v="164"/>
    <n v="1"/>
    <n v="1"/>
  </r>
  <r>
    <s v="親子天下"/>
    <s v="小兒子1：爸爸是夜晚暴食龍"/>
    <m/>
    <d v="2025-02-09T00:00:00"/>
    <n v="177"/>
    <s v="親子天下"/>
    <x v="0"/>
    <m/>
    <m/>
    <m/>
    <n v="177"/>
    <s v=""/>
    <n v="1"/>
  </r>
  <r>
    <s v="親子天下"/>
    <s v="一個傻蛋賣香屁"/>
    <s v="V"/>
    <d v="2024-11-05T00:00:00"/>
    <n v="102"/>
    <s v="親子天下"/>
    <x v="7"/>
    <d v="2025-10-16T00:00:00"/>
    <m/>
    <m/>
    <n v="-31"/>
    <n v="1"/>
    <n v="1"/>
  </r>
  <r>
    <s v="親子天下"/>
    <s v="怪傑左羅力1"/>
    <s v="V"/>
    <d v="2024-07-07T00:00:00"/>
    <n v="151.19999999999999"/>
    <s v="MOMO"/>
    <x v="0"/>
    <m/>
    <m/>
    <m/>
    <n v="151.19999999999999"/>
    <n v="1"/>
    <n v="1"/>
  </r>
  <r>
    <s v="親子天下"/>
    <s v="怪傑左羅力2"/>
    <s v="V"/>
    <d v="2024-07-07T00:00:00"/>
    <n v="151.19999999999999"/>
    <s v="MOMO"/>
    <x v="0"/>
    <m/>
    <m/>
    <m/>
    <n v="151.19999999999999"/>
    <n v="1"/>
    <n v="1"/>
  </r>
  <r>
    <s v="親子天下"/>
    <s v="怪傑左羅力3"/>
    <s v="V"/>
    <d v="2024-07-07T00:00:00"/>
    <n v="151.19999999999999"/>
    <s v="MOMO"/>
    <x v="0"/>
    <m/>
    <m/>
    <m/>
    <n v="151.19999999999999"/>
    <n v="1"/>
    <n v="1"/>
  </r>
  <r>
    <s v="親子天下"/>
    <s v="怪傑左羅力4"/>
    <s v="V"/>
    <d v="2024-07-07T00:00:00"/>
    <n v="151.19999999999999"/>
    <s v="MOMO"/>
    <x v="0"/>
    <m/>
    <m/>
    <m/>
    <n v="151.19999999999999"/>
    <n v="1"/>
    <n v="1"/>
  </r>
  <r>
    <s v="親子天下"/>
    <s v="怪傑左羅力5"/>
    <s v="V"/>
    <d v="2024-07-07T00:00:00"/>
    <n v="151.19999999999999"/>
    <s v="MOMO"/>
    <x v="0"/>
    <m/>
    <m/>
    <m/>
    <n v="151.19999999999999"/>
    <n v="1"/>
    <n v="1"/>
  </r>
  <r>
    <s v="親子天下"/>
    <s v="怪傑左羅力6"/>
    <s v="V"/>
    <d v="2024-07-07T00:00:00"/>
    <n v="151.19999999999999"/>
    <s v="MOMO"/>
    <x v="0"/>
    <m/>
    <m/>
    <m/>
    <n v="151.19999999999999"/>
    <n v="1"/>
    <n v="1"/>
  </r>
  <r>
    <s v="親子天下"/>
    <s v="怪傑左羅力7"/>
    <s v="V"/>
    <d v="2024-07-07T00:00:00"/>
    <n v="151.19999999999999"/>
    <s v="MOMO"/>
    <x v="0"/>
    <m/>
    <m/>
    <m/>
    <n v="151.19999999999999"/>
    <n v="1"/>
    <n v="1"/>
  </r>
  <r>
    <s v="親子天下"/>
    <s v="怪傑左羅力8"/>
    <s v="V"/>
    <d v="2024-07-07T00:00:00"/>
    <n v="151.19999999999999"/>
    <s v="MOMO"/>
    <x v="0"/>
    <m/>
    <m/>
    <m/>
    <n v="151.19999999999999"/>
    <n v="1"/>
    <n v="1"/>
  </r>
  <r>
    <s v="親子天下"/>
    <s v="怪傑左羅力9"/>
    <s v="V"/>
    <d v="2024-07-07T00:00:00"/>
    <n v="151.19999999999999"/>
    <s v="MOMO"/>
    <x v="0"/>
    <m/>
    <m/>
    <m/>
    <n v="151.19999999999999"/>
    <n v="1"/>
    <n v="1"/>
  </r>
  <r>
    <s v="親子天下"/>
    <s v="怪傑左羅力10"/>
    <s v="V"/>
    <d v="2024-07-07T00:00:00"/>
    <n v="151.19999999999999"/>
    <s v="MOMO"/>
    <x v="0"/>
    <m/>
    <m/>
    <m/>
    <n v="151.19999999999999"/>
    <n v="1"/>
    <n v="1"/>
  </r>
  <r>
    <s v="親子天下"/>
    <s v="怪傑左羅力11"/>
    <s v="V"/>
    <d v="2024-08-01T00:00:00"/>
    <n v="171.8"/>
    <s v="FB"/>
    <x v="0"/>
    <m/>
    <m/>
    <m/>
    <n v="171.8"/>
    <n v="1"/>
    <n v="1"/>
  </r>
  <r>
    <s v="親子天下"/>
    <s v="怪傑左羅力12"/>
    <s v="V"/>
    <d v="2024-08-01T00:00:00"/>
    <n v="171.8"/>
    <s v="FB"/>
    <x v="0"/>
    <m/>
    <m/>
    <m/>
    <n v="171.8"/>
    <n v="1"/>
    <n v="1"/>
  </r>
  <r>
    <s v="親子天下"/>
    <s v="怪傑左羅力13"/>
    <s v="V"/>
    <d v="2024-08-01T00:00:00"/>
    <n v="171.8"/>
    <s v="FB"/>
    <x v="0"/>
    <m/>
    <m/>
    <m/>
    <n v="171.8"/>
    <n v="1"/>
    <n v="1"/>
  </r>
  <r>
    <s v="親子天下"/>
    <s v="怪傑左羅力14"/>
    <s v="V"/>
    <d v="2024-08-01T00:00:00"/>
    <n v="171.8"/>
    <s v="FB"/>
    <x v="0"/>
    <m/>
    <m/>
    <m/>
    <n v="171.8"/>
    <n v="1"/>
    <n v="1"/>
  </r>
  <r>
    <s v="親子天下"/>
    <s v="怪傑左羅力15"/>
    <s v="V"/>
    <d v="2024-08-01T00:00:00"/>
    <n v="171.8"/>
    <s v="FB"/>
    <x v="0"/>
    <m/>
    <m/>
    <m/>
    <n v="171.8"/>
    <n v="1"/>
    <n v="1"/>
  </r>
  <r>
    <s v="親子天下"/>
    <s v="怪傑左羅力16"/>
    <s v="V"/>
    <d v="2024-08-01T00:00:00"/>
    <n v="171.8"/>
    <s v="FB"/>
    <x v="0"/>
    <m/>
    <m/>
    <m/>
    <n v="171.8"/>
    <n v="1"/>
    <n v="1"/>
  </r>
  <r>
    <s v="親子天下"/>
    <s v="怪傑左羅力17"/>
    <s v="V"/>
    <d v="2024-08-01T00:00:00"/>
    <n v="171.8"/>
    <s v="FB"/>
    <x v="0"/>
    <m/>
    <m/>
    <m/>
    <n v="171.8"/>
    <n v="1"/>
    <n v="1"/>
  </r>
  <r>
    <s v="親子天下"/>
    <s v="怪傑左羅力18"/>
    <s v="V"/>
    <d v="2024-08-01T00:00:00"/>
    <n v="171.8"/>
    <s v="FB"/>
    <x v="0"/>
    <m/>
    <m/>
    <m/>
    <n v="171.8"/>
    <n v="1"/>
    <n v="1"/>
  </r>
  <r>
    <s v="親子天下"/>
    <s v="怪傑左羅力19"/>
    <s v="V"/>
    <d v="2024-08-01T00:00:00"/>
    <n v="171.8"/>
    <s v="FB"/>
    <x v="0"/>
    <m/>
    <m/>
    <m/>
    <n v="171.8"/>
    <n v="1"/>
    <n v="1"/>
  </r>
  <r>
    <s v="親子天下"/>
    <s v="怪傑左羅力20"/>
    <s v="V"/>
    <d v="2024-08-01T00:00:00"/>
    <n v="171.8"/>
    <s v="FB"/>
    <x v="0"/>
    <m/>
    <m/>
    <m/>
    <n v="171.8"/>
    <n v="1"/>
    <n v="1"/>
  </r>
  <r>
    <s v="親子天下"/>
    <s v="怪傑左羅力21"/>
    <s v="V"/>
    <d v="2024-11-05T00:00:00"/>
    <n v="128"/>
    <s v="親子天下"/>
    <x v="0"/>
    <m/>
    <m/>
    <m/>
    <n v="128"/>
    <n v="1"/>
    <n v="1"/>
  </r>
  <r>
    <s v="親子天下"/>
    <s v="怪傑左羅力22"/>
    <s v="V"/>
    <d v="2024-11-05T00:00:00"/>
    <n v="128"/>
    <s v="親子天下"/>
    <x v="0"/>
    <m/>
    <m/>
    <m/>
    <n v="128"/>
    <n v="1"/>
    <n v="1"/>
  </r>
  <r>
    <s v="親子天下"/>
    <s v="怪傑左羅力23"/>
    <s v="V"/>
    <d v="2024-11-05T00:00:00"/>
    <n v="127"/>
    <s v="親子天下"/>
    <x v="0"/>
    <m/>
    <m/>
    <m/>
    <n v="127"/>
    <n v="1"/>
    <n v="1"/>
  </r>
  <r>
    <s v="親子天下"/>
    <s v="怪傑左羅力24"/>
    <s v="V"/>
    <d v="2024-11-05T00:00:00"/>
    <n v="126"/>
    <s v="親子天下"/>
    <x v="0"/>
    <m/>
    <m/>
    <m/>
    <n v="126"/>
    <n v="1"/>
    <n v="1"/>
  </r>
  <r>
    <s v="親子天下"/>
    <s v="怪傑左羅力25"/>
    <s v="V"/>
    <d v="2024-11-05T00:00:00"/>
    <n v="125"/>
    <s v="親子天下"/>
    <x v="0"/>
    <m/>
    <m/>
    <m/>
    <n v="125"/>
    <n v="1"/>
    <n v="1"/>
  </r>
  <r>
    <s v="親子天下"/>
    <s v="怪傑左羅力26"/>
    <s v="V"/>
    <d v="2025-01-14T00:00:00"/>
    <n v="158"/>
    <s v="親子天下"/>
    <x v="0"/>
    <m/>
    <m/>
    <m/>
    <n v="158"/>
    <n v="1"/>
    <n v="1"/>
  </r>
  <r>
    <s v="親子天下"/>
    <s v="怪傑左羅力27"/>
    <s v="V"/>
    <d v="2025-01-14T00:00:00"/>
    <n v="157"/>
    <s v="親子天下"/>
    <x v="0"/>
    <m/>
    <m/>
    <m/>
    <n v="157"/>
    <n v="1"/>
    <n v="1"/>
  </r>
  <r>
    <s v="親子天下"/>
    <s v="怪傑左羅力28"/>
    <s v="V"/>
    <d v="2025-01-14T00:00:00"/>
    <n v="174"/>
    <s v="親子天下"/>
    <x v="0"/>
    <m/>
    <m/>
    <m/>
    <n v="174"/>
    <n v="1"/>
    <n v="1"/>
  </r>
  <r>
    <s v="親子天下"/>
    <s v="怪傑左羅力29"/>
    <s v="V"/>
    <d v="2025-01-14T00:00:00"/>
    <n v="174"/>
    <s v="親子天下"/>
    <x v="0"/>
    <m/>
    <m/>
    <m/>
    <n v="174"/>
    <n v="1"/>
    <n v="1"/>
  </r>
  <r>
    <s v="親子天下"/>
    <s v="怪傑左羅力30"/>
    <s v="V"/>
    <d v="2025-01-14T00:00:00"/>
    <n v="174"/>
    <s v="親子天下"/>
    <x v="0"/>
    <m/>
    <m/>
    <m/>
    <n v="174"/>
    <n v="1"/>
    <n v="1"/>
  </r>
  <r>
    <s v="親子天下"/>
    <s v="怪傑左羅力31"/>
    <s v="V"/>
    <d v="2025-01-14T00:00:00"/>
    <n v="174"/>
    <s v="親子天下"/>
    <x v="0"/>
    <m/>
    <m/>
    <m/>
    <n v="174"/>
    <n v="1"/>
    <n v="1"/>
  </r>
  <r>
    <s v="親子天下"/>
    <s v="怪傑左羅力32"/>
    <s v="V"/>
    <d v="2025-01-14T00:00:00"/>
    <n v="183"/>
    <s v="親子天下"/>
    <x v="0"/>
    <m/>
    <m/>
    <m/>
    <n v="183"/>
    <n v="1"/>
    <n v="1"/>
  </r>
  <r>
    <s v="親子天下"/>
    <s v="怪傑左羅力33"/>
    <s v="V"/>
    <d v="2025-01-14T00:00:00"/>
    <n v="182"/>
    <s v="親子天下"/>
    <x v="0"/>
    <m/>
    <m/>
    <m/>
    <n v="182"/>
    <n v="1"/>
    <n v="1"/>
  </r>
  <r>
    <s v="親子天下"/>
    <s v="怪傑左羅力34"/>
    <s v="V"/>
    <d v="2025-01-14T00:00:00"/>
    <n v="182"/>
    <s v="親子天下"/>
    <x v="0"/>
    <m/>
    <m/>
    <m/>
    <n v="182"/>
    <n v="1"/>
    <n v="1"/>
  </r>
  <r>
    <s v="親子天下"/>
    <s v="怪傑左羅力35"/>
    <s v="V"/>
    <d v="2025-01-14T00:00:00"/>
    <n v="182"/>
    <s v="親子天下"/>
    <x v="0"/>
    <m/>
    <m/>
    <m/>
    <n v="182"/>
    <n v="1"/>
    <n v="1"/>
  </r>
  <r>
    <s v="親子天下"/>
    <s v="怪傑左羅力36"/>
    <s v="V"/>
    <d v="2025-01-14T00:00:00"/>
    <n v="182"/>
    <s v="親子天下"/>
    <x v="0"/>
    <m/>
    <m/>
    <m/>
    <n v="182"/>
    <n v="1"/>
    <n v="1"/>
  </r>
  <r>
    <s v="親子天下"/>
    <s v="怪傑左羅力37"/>
    <s v="V"/>
    <d v="2025-02-09T00:00:00"/>
    <n v="204"/>
    <s v="親子天下"/>
    <x v="0"/>
    <m/>
    <m/>
    <m/>
    <n v="204"/>
    <n v="1"/>
    <n v="1"/>
  </r>
  <r>
    <s v="親子天下"/>
    <s v="怪傑左羅力38"/>
    <s v="V"/>
    <d v="2025-02-09T00:00:00"/>
    <n v="179"/>
    <s v="親子天下"/>
    <x v="0"/>
    <m/>
    <m/>
    <m/>
    <n v="179"/>
    <n v="1"/>
    <n v="1"/>
  </r>
  <r>
    <s v="親子天下"/>
    <s v="怪傑左羅力39"/>
    <s v="V"/>
    <d v="2025-02-09T00:00:00"/>
    <n v="179"/>
    <s v="親子天下"/>
    <x v="0"/>
    <m/>
    <m/>
    <m/>
    <n v="179"/>
    <n v="1"/>
    <n v="1"/>
  </r>
  <r>
    <s v="親子天下"/>
    <s v="怪傑左羅力40"/>
    <s v="V"/>
    <d v="2025-02-09T00:00:00"/>
    <n v="179"/>
    <s v="親子天下"/>
    <x v="0"/>
    <m/>
    <m/>
    <m/>
    <n v="179"/>
    <n v="1"/>
    <n v="1"/>
  </r>
  <r>
    <s v="親子天下"/>
    <s v="怪傑左羅力41"/>
    <s v="V"/>
    <d v="2025-02-09T00:00:00"/>
    <n v="176.8"/>
    <s v="親子天下"/>
    <x v="0"/>
    <m/>
    <m/>
    <m/>
    <n v="176.8"/>
    <n v="1"/>
    <n v="1"/>
  </r>
  <r>
    <s v="親子天下"/>
    <s v="怪傑左羅力42"/>
    <s v="V"/>
    <d v="2025-02-09T00:00:00"/>
    <n v="176.8"/>
    <s v="親子天下"/>
    <x v="0"/>
    <m/>
    <m/>
    <m/>
    <n v="176.8"/>
    <n v="1"/>
    <n v="1"/>
  </r>
  <r>
    <s v="親子天下"/>
    <s v="怪傑左羅力43"/>
    <s v="V"/>
    <d v="2025-02-09T00:00:00"/>
    <n v="176.8"/>
    <s v="親子天下"/>
    <x v="0"/>
    <m/>
    <m/>
    <m/>
    <n v="176.8"/>
    <n v="1"/>
    <n v="1"/>
  </r>
  <r>
    <s v="親子天下"/>
    <s v="怪傑左羅力44"/>
    <s v="V"/>
    <d v="2025-02-09T00:00:00"/>
    <n v="176.8"/>
    <s v="親子天下"/>
    <x v="0"/>
    <m/>
    <m/>
    <m/>
    <n v="176.8"/>
    <n v="1"/>
    <n v="1"/>
  </r>
  <r>
    <s v="親子天下"/>
    <s v="怪傑左羅力45"/>
    <s v="V"/>
    <d v="2025-02-09T00:00:00"/>
    <n v="176.8"/>
    <s v="親子天下"/>
    <x v="0"/>
    <m/>
    <m/>
    <m/>
    <n v="176.8"/>
    <n v="1"/>
    <n v="1"/>
  </r>
  <r>
    <s v="親子天下"/>
    <s v="怪傑左羅力46"/>
    <s v="V"/>
    <d v="2025-02-09T00:00:00"/>
    <n v="178.2"/>
    <s v="親子天下"/>
    <x v="0"/>
    <m/>
    <m/>
    <m/>
    <n v="178.2"/>
    <n v="1"/>
    <n v="1"/>
  </r>
  <r>
    <s v="親子天下"/>
    <s v="怪傑左羅力47"/>
    <s v="V"/>
    <d v="2025-02-09T00:00:00"/>
    <n v="178.2"/>
    <s v="親子天下"/>
    <x v="0"/>
    <m/>
    <m/>
    <m/>
    <n v="178.2"/>
    <n v="1"/>
    <n v="1"/>
  </r>
  <r>
    <s v="親子天下"/>
    <s v="怪傑左羅力48"/>
    <s v="V"/>
    <d v="2025-02-09T00:00:00"/>
    <n v="178.2"/>
    <s v="親子天下"/>
    <x v="0"/>
    <m/>
    <m/>
    <m/>
    <n v="178.2"/>
    <n v="1"/>
    <n v="1"/>
  </r>
  <r>
    <s v="親子天下"/>
    <s v="怪傑左羅力49"/>
    <s v="V"/>
    <d v="2025-02-09T00:00:00"/>
    <n v="178.2"/>
    <s v="親子天下"/>
    <x v="0"/>
    <m/>
    <m/>
    <m/>
    <n v="178.2"/>
    <n v="1"/>
    <n v="1"/>
  </r>
  <r>
    <s v="親子天下"/>
    <s v="怪傑左羅力50"/>
    <s v="V"/>
    <d v="2025-02-09T00:00:00"/>
    <n v="178.2"/>
    <s v="親子天下"/>
    <x v="0"/>
    <m/>
    <m/>
    <m/>
    <n v="178.2"/>
    <n v="1"/>
    <n v="1"/>
  </r>
  <r>
    <s v="親子天下"/>
    <s v="怪傑佐羅力51"/>
    <s v="V"/>
    <d v="2025-10-01T00:00:00"/>
    <n v="173"/>
    <s v="親子天下"/>
    <x v="0"/>
    <m/>
    <d v="2026-01-24T00:00:00"/>
    <s v="使用6700點及優惠券100元"/>
    <n v="173"/>
    <n v="1"/>
    <n v="1"/>
  </r>
  <r>
    <s v="親子天下"/>
    <s v="怪傑佐羅力52"/>
    <s v="V"/>
    <d v="2025-10-01T00:00:00"/>
    <n v="172"/>
    <s v="親子天下"/>
    <x v="0"/>
    <m/>
    <d v="2026-01-18T00:00:00"/>
    <s v="使用6700點及優惠券100元"/>
    <n v="172"/>
    <n v="1"/>
    <n v="1"/>
  </r>
  <r>
    <s v="親子天下"/>
    <s v="怪傑佐羅力53"/>
    <s v="V"/>
    <d v="2025-10-01T00:00:00"/>
    <n v="171"/>
    <s v="親子天下"/>
    <x v="0"/>
    <m/>
    <d v="2026-01-21T00:00:00"/>
    <s v="使用6700點及優惠券100元"/>
    <n v="171"/>
    <n v="1"/>
    <n v="1"/>
  </r>
  <r>
    <s v="親子天下"/>
    <s v="怪傑佐羅力54"/>
    <s v="V"/>
    <d v="2025-10-01T00:00:00"/>
    <n v="171"/>
    <s v="親子天下"/>
    <x v="0"/>
    <m/>
    <d v="2025-11-08T00:00:00"/>
    <s v="使用6700點及優惠券100元"/>
    <n v="171"/>
    <n v="1"/>
    <n v="1"/>
  </r>
  <r>
    <s v="親子天下"/>
    <s v="怪傑佐羅力55"/>
    <s v="V"/>
    <d v="2025-10-01T00:00:00"/>
    <n v="171"/>
    <s v="親子天下"/>
    <x v="0"/>
    <m/>
    <m/>
    <s v="使用6700點及優惠券100元"/>
    <n v="171"/>
    <n v="1"/>
    <n v="1"/>
  </r>
  <r>
    <s v="親子天下"/>
    <s v="怪傑佐羅力56"/>
    <s v="V"/>
    <d v="2025-10-11T00:00:00"/>
    <n v="179"/>
    <s v="親子天下"/>
    <x v="0"/>
    <m/>
    <d v="2026-01-23T00:00:00"/>
    <s v="優惠券100元"/>
    <n v="179"/>
    <n v="1"/>
    <n v="1"/>
  </r>
  <r>
    <s v="親子天下"/>
    <s v="怪傑佐羅力57"/>
    <s v="V"/>
    <d v="2025-10-11T00:00:00"/>
    <n v="179"/>
    <s v="親子天下"/>
    <x v="0"/>
    <m/>
    <d v="2025-12-03T00:00:00"/>
    <s v="優惠券100元"/>
    <n v="179"/>
    <n v="1"/>
    <n v="1"/>
  </r>
  <r>
    <s v="親子天下"/>
    <s v="怪傑佐羅力58"/>
    <s v="V"/>
    <d v="2025-10-11T00:00:00"/>
    <n v="178"/>
    <s v="親子天下"/>
    <x v="0"/>
    <m/>
    <d v="2025-11-04T00:00:00"/>
    <s v="優惠券100元"/>
    <n v="178"/>
    <n v="1"/>
    <n v="1"/>
  </r>
  <r>
    <s v="親子天下"/>
    <s v="怪傑佐羅力59"/>
    <s v="V"/>
    <d v="2025-10-11T00:00:00"/>
    <n v="178"/>
    <s v="親子天下"/>
    <x v="0"/>
    <m/>
    <d v="2026-03-07T00:00:00"/>
    <s v="優惠券100元"/>
    <n v="178"/>
    <n v="1"/>
    <n v="1"/>
  </r>
  <r>
    <s v="親子天下"/>
    <s v="怪傑佐羅力60"/>
    <s v="V"/>
    <d v="2025-10-11T00:00:00"/>
    <n v="189"/>
    <s v="親子天下"/>
    <x v="0"/>
    <m/>
    <d v="2025-10-09T00:00:00"/>
    <s v="優惠券100元"/>
    <n v="189"/>
    <n v="1"/>
    <n v="1"/>
  </r>
  <r>
    <s v="親子天下"/>
    <s v="君偉上小學1"/>
    <s v="V"/>
    <d v="2024-10-27T00:00:00"/>
    <n v="230"/>
    <s v="親子天下"/>
    <x v="8"/>
    <d v="2025-09-20T00:00:00"/>
    <m/>
    <m/>
    <n v="45.333333333333343"/>
    <n v="1"/>
    <n v="1"/>
  </r>
  <r>
    <s v="親子天下"/>
    <s v="君偉上小學2"/>
    <s v="V"/>
    <d v="2024-10-27T00:00:00"/>
    <n v="230"/>
    <s v="親子天下"/>
    <x v="8"/>
    <d v="2025-09-20T00:00:00"/>
    <m/>
    <m/>
    <n v="45.333333333333343"/>
    <n v="1"/>
    <n v="1"/>
  </r>
  <r>
    <s v="親子天下"/>
    <s v="君偉上小學3"/>
    <s v="V"/>
    <d v="2024-10-27T00:00:00"/>
    <n v="229"/>
    <s v="親子天下"/>
    <x v="8"/>
    <d v="2025-09-20T00:00:00"/>
    <m/>
    <m/>
    <n v="44.333333333333343"/>
    <n v="1"/>
    <n v="1"/>
  </r>
  <r>
    <s v="親子天下"/>
    <s v="君偉上小學4"/>
    <s v="V"/>
    <d v="2024-10-27T00:00:00"/>
    <n v="228"/>
    <s v="親子天下"/>
    <x v="8"/>
    <d v="2025-09-20T00:00:00"/>
    <m/>
    <m/>
    <n v="43.333333333333343"/>
    <n v="1"/>
    <n v="1"/>
  </r>
  <r>
    <s v="親子天下"/>
    <s v="君偉上小學5"/>
    <s v="V"/>
    <d v="2024-10-27T00:00:00"/>
    <n v="228"/>
    <s v="親子天下"/>
    <x v="8"/>
    <d v="2025-09-20T00:00:00"/>
    <m/>
    <m/>
    <n v="43.333333333333343"/>
    <n v="1"/>
    <n v="1"/>
  </r>
  <r>
    <s v="親子天下"/>
    <s v="君偉上小學6"/>
    <s v="V"/>
    <d v="2024-10-27T00:00:00"/>
    <n v="228"/>
    <s v="親子天下"/>
    <x v="8"/>
    <d v="2025-09-20T00:00:00"/>
    <m/>
    <m/>
    <n v="43.333333333333343"/>
    <n v="1"/>
    <n v="1"/>
  </r>
  <r>
    <s v="親子天下"/>
    <s v="爆笑小火龍套書1"/>
    <s v="V"/>
    <d v="2024-10-27T00:00:00"/>
    <n v="191.71428571428572"/>
    <s v="親子天下"/>
    <x v="9"/>
    <d v="2025-10-11T00:00:00"/>
    <d v="2025-10-06T00:00:00"/>
    <m/>
    <n v="36.714285714285722"/>
    <n v="1"/>
    <n v="1"/>
  </r>
  <r>
    <s v="親子天下"/>
    <s v="爆笑小火龍套書2"/>
    <s v="V"/>
    <d v="2024-10-27T00:00:00"/>
    <n v="191.71428571428572"/>
    <s v="親子天下"/>
    <x v="9"/>
    <d v="2025-10-11T00:00:00"/>
    <d v="2025-10-06T00:00:00"/>
    <m/>
    <n v="36.714285714285722"/>
    <n v="1"/>
    <n v="1"/>
  </r>
  <r>
    <s v="親子天下"/>
    <s v="爆笑小火龍套書3"/>
    <s v="V"/>
    <d v="2024-10-27T00:00:00"/>
    <n v="191.71428571428572"/>
    <s v="親子天下"/>
    <x v="9"/>
    <d v="2025-10-11T00:00:00"/>
    <d v="2025-10-11T00:00:00"/>
    <m/>
    <n v="36.714285714285722"/>
    <n v="1"/>
    <n v="1"/>
  </r>
  <r>
    <s v="親子天下"/>
    <s v="爆笑小火龍套書4"/>
    <s v="V"/>
    <d v="2024-10-27T00:00:00"/>
    <n v="191.71428571428572"/>
    <s v="親子天下"/>
    <x v="9"/>
    <d v="2025-10-11T00:00:00"/>
    <d v="2025-10-07T00:00:00"/>
    <m/>
    <n v="36.714285714285722"/>
    <n v="1"/>
    <n v="1"/>
  </r>
  <r>
    <s v="親子天下"/>
    <s v="爆笑小火龍套書5"/>
    <s v="V"/>
    <d v="2024-10-27T00:00:00"/>
    <n v="191.71428571428572"/>
    <s v="親子天下"/>
    <x v="9"/>
    <d v="2025-10-11T00:00:00"/>
    <d v="2025-10-11T00:00:00"/>
    <m/>
    <n v="36.714285714285722"/>
    <n v="1"/>
    <n v="1"/>
  </r>
  <r>
    <s v="親子天下"/>
    <s v="爆笑小火龍套書6"/>
    <s v="V"/>
    <d v="2024-10-27T00:00:00"/>
    <n v="191.71428571428572"/>
    <s v="親子天下"/>
    <x v="9"/>
    <d v="2025-10-11T00:00:00"/>
    <d v="2025-10-10T00:00:00"/>
    <m/>
    <n v="36.714285714285722"/>
    <n v="1"/>
    <n v="1"/>
  </r>
  <r>
    <s v="親子天下"/>
    <s v="爆笑小火龍套書7"/>
    <s v="V"/>
    <d v="2024-10-27T00:00:00"/>
    <n v="191.71428571428572"/>
    <s v="親子天下"/>
    <x v="9"/>
    <d v="2025-10-11T00:00:00"/>
    <d v="2025-10-05T00:00:00"/>
    <m/>
    <n v="36.714285714285722"/>
    <n v="1"/>
    <n v="1"/>
  </r>
  <r>
    <s v="親子天下"/>
    <s v="我家套書1-我家有個遊樂園"/>
    <s v="V"/>
    <d v="2024-10-27T00:00:00"/>
    <n v="157.6"/>
    <s v="親子天下"/>
    <x v="0"/>
    <m/>
    <m/>
    <m/>
    <n v="157.6"/>
    <n v="1"/>
    <n v="1"/>
  </r>
  <r>
    <s v="親子天下"/>
    <s v="我家套書2-我家有個花果菜園"/>
    <s v="V"/>
    <d v="2024-10-27T00:00:00"/>
    <n v="157.6"/>
    <s v="親子天下"/>
    <x v="0"/>
    <m/>
    <d v="2025-12-07T00:00:00"/>
    <m/>
    <n v="157.6"/>
    <n v="1"/>
    <n v="1"/>
  </r>
  <r>
    <s v="親子天下"/>
    <s v="我家套書3-我家有個烏龜園"/>
    <s v="V"/>
    <d v="2024-10-27T00:00:00"/>
    <n v="157.6"/>
    <s v="親子天下"/>
    <x v="0"/>
    <m/>
    <d v="2025-11-30T00:00:00"/>
    <m/>
    <n v="157.6"/>
    <n v="1"/>
    <n v="1"/>
  </r>
  <r>
    <s v="親子天下"/>
    <s v="我家套書4-我家蓋了新房子"/>
    <s v="V"/>
    <d v="2024-10-27T00:00:00"/>
    <n v="157.6"/>
    <s v="親子天下"/>
    <x v="0"/>
    <m/>
    <m/>
    <m/>
    <n v="157.6"/>
    <n v="1"/>
    <n v="1"/>
  </r>
  <r>
    <s v="親子天下"/>
    <s v="我家套書5-我家的美味時間"/>
    <s v="V"/>
    <d v="2024-10-27T00:00:00"/>
    <n v="157.6"/>
    <s v="親子天下"/>
    <x v="0"/>
    <m/>
    <d v="2025-12-06T00:00:00"/>
    <m/>
    <n v="157.6"/>
    <n v="1"/>
    <n v="1"/>
  </r>
  <r>
    <s v="親子天下"/>
    <s v="微生物的小秘密1"/>
    <s v="V"/>
    <d v="2025-06-09T00:00:00"/>
    <n v="201.5"/>
    <s v="MOMO"/>
    <x v="0"/>
    <m/>
    <m/>
    <m/>
    <n v="201.5"/>
    <n v="1"/>
    <n v="1"/>
  </r>
  <r>
    <s v="親子天下"/>
    <s v="微生物的小秘密2"/>
    <s v="V"/>
    <d v="2025-06-09T00:00:00"/>
    <n v="201.5"/>
    <s v="MOMO"/>
    <x v="0"/>
    <m/>
    <m/>
    <m/>
    <n v="201.5"/>
    <n v="1"/>
    <n v="1"/>
  </r>
  <r>
    <s v="親子天下"/>
    <s v="微生物的小秘密3"/>
    <s v="V"/>
    <d v="2025-06-09T00:00:00"/>
    <n v="201.5"/>
    <s v="MOMO"/>
    <x v="0"/>
    <m/>
    <d v="2025-10-17T00:00:00"/>
    <m/>
    <n v="201.5"/>
    <n v="1"/>
    <n v="1"/>
  </r>
  <r>
    <s v="親子天下"/>
    <s v="微生物的小秘密4"/>
    <s v="V"/>
    <d v="2025-06-09T00:00:00"/>
    <n v="201.5"/>
    <s v="MOMO"/>
    <x v="0"/>
    <m/>
    <d v="2025-10-18T00:00:00"/>
    <m/>
    <n v="201.5"/>
    <n v="1"/>
    <n v="1"/>
  </r>
  <r>
    <s v="親子天下"/>
    <s v="奇想西遊記1"/>
    <s v="V"/>
    <d v="2024-11-10T00:00:00"/>
    <n v="155.5"/>
    <s v="MOMO"/>
    <x v="10"/>
    <d v="2025-10-25T00:00:00"/>
    <m/>
    <s v="雙11"/>
    <n v="14"/>
    <n v="1"/>
    <n v="1"/>
  </r>
  <r>
    <s v="親子天下"/>
    <s v="奇想西遊記2"/>
    <s v="V"/>
    <d v="2024-11-10T00:00:00"/>
    <n v="155.5"/>
    <s v="MOMO"/>
    <x v="10"/>
    <d v="2025-10-25T00:00:00"/>
    <d v="2025-09-04T00:00:00"/>
    <s v="雙11"/>
    <n v="14"/>
    <n v="1"/>
    <n v="1"/>
  </r>
  <r>
    <s v="親子天下"/>
    <s v="奇想西遊記3"/>
    <s v="V"/>
    <d v="2024-11-10T00:00:00"/>
    <n v="155.5"/>
    <s v="MOMO"/>
    <x v="10"/>
    <d v="2025-10-25T00:00:00"/>
    <d v="2025-09-12T00:00:00"/>
    <s v="雙11"/>
    <n v="14"/>
    <n v="1"/>
    <n v="1"/>
  </r>
  <r>
    <s v="親子天下"/>
    <s v="奇想西遊記4"/>
    <s v="V"/>
    <d v="2024-11-10T00:00:00"/>
    <n v="155.5"/>
    <s v="MOMO"/>
    <x v="10"/>
    <d v="2025-10-25T00:00:00"/>
    <d v="2025-09-21T00:00:00"/>
    <s v="雙11"/>
    <n v="14"/>
    <n v="1"/>
    <n v="1"/>
  </r>
  <r>
    <s v="親子天下"/>
    <s v="山雨小學2：生氣王子番外篇"/>
    <s v="V"/>
    <d v="2024-05-13T00:00:00"/>
    <n v="259.5"/>
    <s v="其他"/>
    <x v="11"/>
    <m/>
    <m/>
    <m/>
    <n v="83.5"/>
    <n v="1"/>
    <n v="1"/>
  </r>
  <r>
    <s v="親子天下"/>
    <s v="山雨小學1：愛哭公主番外篇"/>
    <s v="V"/>
    <d v="2024-05-13T00:00:00"/>
    <n v="259.5"/>
    <s v="其他"/>
    <x v="11"/>
    <m/>
    <m/>
    <m/>
    <n v="83.5"/>
    <n v="1"/>
    <n v="1"/>
  </r>
  <r>
    <s v="親子天下"/>
    <s v="愛思考的貓巧可1"/>
    <s v="V"/>
    <d v="2023-06-25T00:00:00"/>
    <n v="156.19999999999999"/>
    <s v="誠品"/>
    <x v="12"/>
    <m/>
    <m/>
    <m/>
    <n v="33.199999999999989"/>
    <n v="1"/>
    <n v="1"/>
  </r>
  <r>
    <s v="親子天下"/>
    <s v="愛思考的貓巧可2"/>
    <s v="V"/>
    <d v="2023-06-25T00:00:00"/>
    <n v="156.19999999999999"/>
    <s v="誠品"/>
    <x v="12"/>
    <m/>
    <m/>
    <m/>
    <n v="33.199999999999989"/>
    <n v="1"/>
    <n v="1"/>
  </r>
  <r>
    <s v="親子天下"/>
    <s v="愛思考的貓巧可3"/>
    <s v="V"/>
    <d v="2023-06-25T00:00:00"/>
    <n v="156.19999999999999"/>
    <s v="誠品"/>
    <x v="12"/>
    <m/>
    <m/>
    <m/>
    <n v="33.199999999999989"/>
    <n v="1"/>
    <n v="1"/>
  </r>
  <r>
    <s v="親子天下"/>
    <s v="愛思考的貓巧可4"/>
    <s v="V"/>
    <d v="2023-06-25T00:00:00"/>
    <n v="156.19999999999999"/>
    <s v="誠品"/>
    <x v="12"/>
    <m/>
    <m/>
    <m/>
    <n v="33.199999999999989"/>
    <n v="1"/>
    <n v="1"/>
  </r>
  <r>
    <s v="親子天下"/>
    <s v="愛思考的貓巧可5"/>
    <s v="V"/>
    <d v="2023-06-25T00:00:00"/>
    <n v="156.19999999999999"/>
    <s v="誠品"/>
    <x v="12"/>
    <m/>
    <m/>
    <m/>
    <n v="33.199999999999989"/>
    <n v="1"/>
    <n v="1"/>
  </r>
  <r>
    <s v="親子天下"/>
    <s v="字的傳奇1"/>
    <s v="V"/>
    <d v="2023-08-30T00:00:00"/>
    <n v="192.8"/>
    <s v="親子天下"/>
    <x v="13"/>
    <d v="2025-11-04T00:00:00"/>
    <d v="2025-09-02T00:00:00"/>
    <m/>
    <n v="37.400000000000006"/>
    <n v="1"/>
    <n v="1"/>
  </r>
  <r>
    <s v="親子天下"/>
    <s v="字的傳奇2"/>
    <s v="V"/>
    <d v="2023-08-30T00:00:00"/>
    <n v="192.8"/>
    <s v="親子天下"/>
    <x v="13"/>
    <d v="2025-11-04T00:00:00"/>
    <d v="2025-09-21T00:00:00"/>
    <m/>
    <n v="37.400000000000006"/>
    <n v="1"/>
    <n v="1"/>
  </r>
  <r>
    <s v="親子天下"/>
    <s v="字的傳奇3"/>
    <s v="V"/>
    <d v="2023-08-30T00:00:00"/>
    <n v="192.8"/>
    <s v="親子天下"/>
    <x v="13"/>
    <d v="2025-11-04T00:00:00"/>
    <d v="2025-09-28T00:00:00"/>
    <m/>
    <n v="37.400000000000006"/>
    <n v="1"/>
    <n v="1"/>
  </r>
  <r>
    <s v="親子天下"/>
    <s v="字的傳奇4"/>
    <s v="V"/>
    <d v="2023-08-30T00:00:00"/>
    <n v="192.8"/>
    <s v="親子天下"/>
    <x v="13"/>
    <d v="2025-11-04T00:00:00"/>
    <d v="2025-09-29T00:00:00"/>
    <m/>
    <n v="37.400000000000006"/>
    <n v="1"/>
    <n v="1"/>
  </r>
  <r>
    <s v="親子天下"/>
    <s v="字的傳奇5"/>
    <s v="V"/>
    <d v="2023-08-30T00:00:00"/>
    <n v="192.8"/>
    <s v="親子天下"/>
    <x v="13"/>
    <d v="2025-11-04T00:00:00"/>
    <d v="2025-10-03T00:00:00"/>
    <m/>
    <n v="37.400000000000006"/>
    <n v="1"/>
    <n v="1"/>
  </r>
  <r>
    <s v="采實"/>
    <s v="給小學生的環境自然課"/>
    <s v="V"/>
    <d v="2025-10-20T00:00:00"/>
    <n v="0"/>
    <s v="團書"/>
    <x v="0"/>
    <m/>
    <m/>
    <m/>
    <n v="0"/>
    <n v="1"/>
    <n v="1"/>
  </r>
  <r>
    <s v="采實"/>
    <s v="101種書的使用方法"/>
    <m/>
    <d v="2025-10-20T00:00:00"/>
    <n v="0"/>
    <s v="團書"/>
    <x v="0"/>
    <m/>
    <m/>
    <m/>
    <n v="0"/>
    <s v=""/>
    <n v="1"/>
  </r>
  <r>
    <s v="采實"/>
    <s v="生活素養小學堂1"/>
    <m/>
    <d v="2025-10-20T00:00:00"/>
    <n v="220.75"/>
    <s v="團書"/>
    <x v="0"/>
    <m/>
    <m/>
    <s v="已9折後再折50元"/>
    <n v="220.75"/>
    <s v=""/>
    <n v="1"/>
  </r>
  <r>
    <s v="采實"/>
    <s v="生活素養小學堂2"/>
    <m/>
    <d v="2025-10-20T00:00:00"/>
    <n v="220.75"/>
    <s v="團書"/>
    <x v="0"/>
    <m/>
    <m/>
    <s v="已9折後再折50元"/>
    <n v="220.75"/>
    <s v=""/>
    <n v="1"/>
  </r>
  <r>
    <s v="采實"/>
    <s v="生活素養小學堂3"/>
    <m/>
    <d v="2025-10-20T00:00:00"/>
    <n v="220.75"/>
    <s v="團書"/>
    <x v="0"/>
    <m/>
    <m/>
    <s v="已9折後再折50元"/>
    <n v="220.75"/>
    <s v=""/>
    <n v="1"/>
  </r>
  <r>
    <s v="采實"/>
    <s v="生活素養小學堂4"/>
    <m/>
    <d v="2025-10-20T00:00:00"/>
    <n v="220.75"/>
    <s v="團書"/>
    <x v="0"/>
    <m/>
    <m/>
    <s v="已9折後再折50元"/>
    <n v="220.75"/>
    <s v=""/>
    <n v="1"/>
  </r>
  <r>
    <s v="采實"/>
    <s v="科學小偵探1-神秘島的謎團"/>
    <s v="V"/>
    <d v="2025-10-20T00:00:00"/>
    <n v="202.66666666666666"/>
    <s v="團書"/>
    <x v="0"/>
    <m/>
    <d v="2025-12-28T00:00:00"/>
    <s v="已9折後再折50元"/>
    <n v="202.66666666666666"/>
    <n v="1"/>
    <n v="1"/>
  </r>
  <r>
    <s v="采實"/>
    <s v="科學小偵探2-勇闖科學樂園"/>
    <s v="V"/>
    <d v="2025-10-20T00:00:00"/>
    <n v="202.66666666666666"/>
    <s v="團書"/>
    <x v="0"/>
    <m/>
    <d v="2026-01-01T00:00:00"/>
    <s v="已9折後再折50元"/>
    <n v="202.66666666666666"/>
    <n v="1"/>
    <n v="1"/>
  </r>
  <r>
    <s v="采實"/>
    <s v="科學小偵探3-抓住神秘怪盜"/>
    <s v="V"/>
    <d v="2025-10-20T00:00:00"/>
    <n v="202.66666666666666"/>
    <s v="團書"/>
    <x v="0"/>
    <m/>
    <d v="2026-03-17T00:00:00"/>
    <s v="已9折後再折50元"/>
    <n v="202.66666666666666"/>
    <n v="1"/>
    <n v="1"/>
  </r>
  <r>
    <s v="采實"/>
    <s v="小學生的腦科學漫畫-人類探索研究小隊1"/>
    <m/>
    <d v="2025-10-20T00:00:00"/>
    <n v="203"/>
    <s v="團書"/>
    <x v="0"/>
    <m/>
    <m/>
    <s v="已9折後再折50元"/>
    <n v="203"/>
    <s v=""/>
    <n v="1"/>
  </r>
  <r>
    <s v="采實"/>
    <s v="小學生的腦科學漫畫-人類探索研究小隊2"/>
    <m/>
    <d v="2025-10-20T00:00:00"/>
    <n v="203"/>
    <s v="團書"/>
    <x v="0"/>
    <m/>
    <m/>
    <s v="已9折後再折50元"/>
    <n v="203"/>
    <s v=""/>
    <n v="1"/>
  </r>
  <r>
    <s v="采實"/>
    <s v="小學生的腦科學漫畫-人類探索研究小隊3 為什麼人有這麼多情緒？"/>
    <s v="V"/>
    <d v="2025-10-20T00:00:00"/>
    <n v="203"/>
    <s v="團書"/>
    <x v="0"/>
    <m/>
    <d v="2025-12-24T00:00:00"/>
    <s v="已9折後再折50元"/>
    <n v="203"/>
    <n v="1"/>
    <n v="1"/>
  </r>
  <r>
    <s v="采實"/>
    <s v="操場底下的100層樓學校1"/>
    <s v="V"/>
    <d v="2025-04-07T00:00:00"/>
    <n v="115.19999999999999"/>
    <s v="博客來"/>
    <x v="0"/>
    <m/>
    <m/>
    <m/>
    <n v="115.19999999999999"/>
    <n v="1"/>
    <n v="1"/>
  </r>
  <r>
    <s v="采實"/>
    <s v="操場底下的100層樓學校2"/>
    <s v="V"/>
    <d v="2025-04-07T00:00:00"/>
    <n v="115.19999999999999"/>
    <s v="博客來"/>
    <x v="0"/>
    <m/>
    <d v="2025-12-18T00:00:00"/>
    <m/>
    <n v="115.19999999999999"/>
    <n v="1"/>
    <n v="1"/>
  </r>
  <r>
    <s v="采實"/>
    <s v="操場底下的100層樓學校3"/>
    <m/>
    <d v="2025-04-07T00:00:00"/>
    <n v="115.19999999999999"/>
    <s v="博客來"/>
    <x v="0"/>
    <m/>
    <m/>
    <m/>
    <n v="115.19999999999999"/>
    <s v=""/>
    <n v="1"/>
  </r>
  <r>
    <s v="采實"/>
    <s v="操場底下的100層樓學校4"/>
    <m/>
    <d v="2025-04-07T00:00:00"/>
    <n v="115.19999999999999"/>
    <s v="博客來"/>
    <x v="0"/>
    <m/>
    <m/>
    <m/>
    <n v="115.19999999999999"/>
    <s v=""/>
    <n v="1"/>
  </r>
  <r>
    <s v="采實"/>
    <s v="科學天才小偵探1"/>
    <s v="V"/>
    <d v="2024-07-07T00:00:00"/>
    <n v="209"/>
    <s v="MOMO"/>
    <x v="0"/>
    <m/>
    <m/>
    <m/>
    <n v="209"/>
    <n v="1"/>
    <n v="1"/>
  </r>
  <r>
    <s v="采實"/>
    <s v="科學天才小偵探2"/>
    <s v="V"/>
    <d v="2024-07-07T00:00:00"/>
    <n v="209"/>
    <s v="MOMO"/>
    <x v="0"/>
    <m/>
    <m/>
    <m/>
    <n v="209"/>
    <n v="1"/>
    <n v="1"/>
  </r>
  <r>
    <s v="采實"/>
    <s v="科學天才小偵探3"/>
    <m/>
    <d v="2024-07-07T00:00:00"/>
    <n v="209"/>
    <s v="MOMO"/>
    <x v="0"/>
    <m/>
    <m/>
    <m/>
    <n v="209"/>
    <s v=""/>
    <n v="1"/>
  </r>
  <r>
    <s v="采實"/>
    <s v="科學天才小偵探4"/>
    <m/>
    <d v="2024-07-07T00:00:00"/>
    <n v="209"/>
    <s v="MOMO"/>
    <x v="0"/>
    <m/>
    <m/>
    <m/>
    <n v="209"/>
    <s v=""/>
    <n v="1"/>
  </r>
  <r>
    <s v="采實"/>
    <s v="科學天才小偵探5"/>
    <m/>
    <d v="2024-07-07T00:00:00"/>
    <n v="209"/>
    <s v="MOMO"/>
    <x v="0"/>
    <m/>
    <m/>
    <m/>
    <n v="209"/>
    <s v=""/>
    <n v="1"/>
  </r>
  <r>
    <s v="華王"/>
    <s v="爆笑科學王1"/>
    <s v="V"/>
    <d v="2023-08-07T00:00:00"/>
    <n v="197.2"/>
    <s v="博客來"/>
    <x v="0"/>
    <m/>
    <m/>
    <m/>
    <n v="197.2"/>
    <n v="1"/>
    <n v="1"/>
  </r>
  <r>
    <s v="華王"/>
    <s v="爆笑科學王2"/>
    <s v="V"/>
    <d v="2023-08-07T00:00:00"/>
    <n v="197.2"/>
    <s v="博客來"/>
    <x v="0"/>
    <m/>
    <m/>
    <m/>
    <n v="197.2"/>
    <n v="1"/>
    <n v="1"/>
  </r>
  <r>
    <s v="華王"/>
    <s v="爆笑科學王3"/>
    <s v="V"/>
    <d v="2023-08-07T00:00:00"/>
    <n v="197.2"/>
    <s v="博客來"/>
    <x v="0"/>
    <m/>
    <m/>
    <m/>
    <n v="197.2"/>
    <n v="1"/>
    <n v="1"/>
  </r>
  <r>
    <s v="華王"/>
    <s v="爆笑科學王4"/>
    <s v="V"/>
    <d v="2023-08-07T00:00:00"/>
    <n v="197.2"/>
    <s v="博客來"/>
    <x v="0"/>
    <m/>
    <m/>
    <m/>
    <n v="197.2"/>
    <n v="1"/>
    <n v="1"/>
  </r>
  <r>
    <s v="華王"/>
    <s v="爆笑科學王5"/>
    <s v="V"/>
    <d v="2023-08-07T00:00:00"/>
    <n v="197.2"/>
    <s v="博客來"/>
    <x v="0"/>
    <m/>
    <m/>
    <m/>
    <n v="197.2"/>
    <n v="1"/>
    <n v="1"/>
  </r>
  <r>
    <s v="華王"/>
    <s v="爆笑科學王6"/>
    <s v="V"/>
    <d v="2025-08-10T00:00:00"/>
    <n v="236.25"/>
    <s v="MOMO"/>
    <x v="0"/>
    <m/>
    <m/>
    <m/>
    <n v="236.25"/>
    <n v="1"/>
    <n v="1"/>
  </r>
  <r>
    <s v="華王"/>
    <s v="爆笑科學王7"/>
    <s v="V"/>
    <d v="2025-08-10T00:00:00"/>
    <n v="236.25"/>
    <s v="MOMO"/>
    <x v="0"/>
    <m/>
    <m/>
    <m/>
    <n v="236.25"/>
    <n v="1"/>
    <n v="1"/>
  </r>
  <r>
    <s v="華王"/>
    <s v="爆笑科學王8"/>
    <s v="V"/>
    <d v="2025-08-10T00:00:00"/>
    <n v="236.25"/>
    <s v="MOMO"/>
    <x v="0"/>
    <m/>
    <m/>
    <m/>
    <n v="236.25"/>
    <n v="1"/>
    <n v="1"/>
  </r>
  <r>
    <s v="華王"/>
    <s v="爆笑科學王9"/>
    <s v="V"/>
    <d v="2025-08-10T00:00:00"/>
    <n v="236.25"/>
    <s v="MOMO"/>
    <x v="0"/>
    <m/>
    <d v="2025-09-02T00:00:00"/>
    <m/>
    <n v="236.25"/>
    <n v="1"/>
    <n v="1"/>
  </r>
  <r>
    <s v="華王"/>
    <s v="爆笑科學王10"/>
    <s v="V"/>
    <d v="2025-08-28T00:00:00"/>
    <n v="252"/>
    <s v="MOMO"/>
    <x v="0"/>
    <m/>
    <d v="2025-09-15T00:00:00"/>
    <m/>
    <n v="252"/>
    <n v="1"/>
    <n v="1"/>
  </r>
  <r>
    <s v="華王"/>
    <s v="爆笑科學王11"/>
    <s v="V"/>
    <d v="2025-08-28T00:00:00"/>
    <n v="252"/>
    <s v="MOMO"/>
    <x v="0"/>
    <m/>
    <d v="2025-09-23T00:00:00"/>
    <m/>
    <n v="252"/>
    <n v="1"/>
    <n v="1"/>
  </r>
  <r>
    <s v="華王"/>
    <s v="爆笑科學王12"/>
    <s v="V"/>
    <d v="2025-08-28T00:00:00"/>
    <n v="252"/>
    <s v="MOMO"/>
    <x v="0"/>
    <m/>
    <d v="2025-09-24T00:00:00"/>
    <m/>
    <n v="252"/>
    <n v="1"/>
    <n v="1"/>
  </r>
  <r>
    <s v="華王"/>
    <s v="爆笑科學王13"/>
    <s v="V"/>
    <d v="2025-09-23T00:00:00"/>
    <n v="243"/>
    <s v="MOMO"/>
    <x v="0"/>
    <m/>
    <d v="2025-10-02T00:00:00"/>
    <m/>
    <n v="243"/>
    <n v="1"/>
    <n v="1"/>
  </r>
  <r>
    <s v="華王"/>
    <s v="爆笑科學王14"/>
    <s v="V"/>
    <d v="2025-09-23T00:00:00"/>
    <n v="243"/>
    <s v="MOMO"/>
    <x v="0"/>
    <m/>
    <d v="2025-10-04T00:00:00"/>
    <m/>
    <n v="243"/>
    <n v="1"/>
    <n v="1"/>
  </r>
  <r>
    <s v="華王"/>
    <s v="爆笑科學王15"/>
    <s v="V"/>
    <d v="2025-09-23T00:00:00"/>
    <n v="243"/>
    <s v="MOMO"/>
    <x v="0"/>
    <m/>
    <d v="2025-10-06T00:00:00"/>
    <m/>
    <n v="243"/>
    <n v="1"/>
    <n v="1"/>
  </r>
  <r>
    <s v="華王"/>
    <s v="爆笑科學王16"/>
    <s v="V"/>
    <d v="2025-11-04T00:00:00"/>
    <n v="238"/>
    <s v="MOMO"/>
    <x v="0"/>
    <m/>
    <d v="2025-12-25T00:00:00"/>
    <m/>
    <n v="238"/>
    <n v="1"/>
    <n v="1"/>
  </r>
  <r>
    <s v="華王"/>
    <s v="爆笑科學王17"/>
    <s v="V"/>
    <d v="2025-11-04T00:00:00"/>
    <n v="212"/>
    <s v="MOMO"/>
    <x v="0"/>
    <m/>
    <d v="2025-12-27T00:00:00"/>
    <m/>
    <n v="212"/>
    <n v="1"/>
    <n v="1"/>
  </r>
  <r>
    <s v="華王"/>
    <s v="爆笑科學王18"/>
    <s v="V"/>
    <d v="2025-12-03T00:00:00"/>
    <n v="212"/>
    <s v="MOMO"/>
    <x v="0"/>
    <m/>
    <d v="2026-02-20T00:00:00"/>
    <m/>
    <n v="212"/>
    <n v="1"/>
    <n v="1"/>
  </r>
  <r>
    <s v="小熊"/>
    <s v="怦怦！怦怦！聽聽身體的祕密：打開耳朵，探索人體的構造和運作機制"/>
    <m/>
    <d v="2025-11-25T00:00:00"/>
    <n v="222.72727272727272"/>
    <s v="讀共"/>
    <x v="0"/>
    <m/>
    <m/>
    <m/>
    <n v="222.72727272727272"/>
    <s v=""/>
    <n v="1"/>
  </r>
  <r>
    <s v="小熊"/>
    <s v="工作細胞繪本1"/>
    <s v="V"/>
    <d v="2025-09-23T00:00:00"/>
    <n v="236"/>
    <s v="MOMO"/>
    <x v="0"/>
    <m/>
    <d v="2025-09-29T00:00:00"/>
    <m/>
    <n v="236"/>
    <n v="1"/>
    <n v="1"/>
  </r>
  <r>
    <s v="小熊"/>
    <s v="工作細胞繪本2"/>
    <s v="V"/>
    <d v="2025-09-23T00:00:00"/>
    <n v="236"/>
    <s v="MOMO"/>
    <x v="0"/>
    <m/>
    <d v="2025-09-29T00:00:00"/>
    <m/>
    <n v="236"/>
    <n v="1"/>
    <n v="1"/>
  </r>
  <r>
    <s v="小熊"/>
    <s v="工作細胞繪本3"/>
    <s v="V"/>
    <d v="2025-09-23T00:00:00"/>
    <n v="236"/>
    <s v="MOMO"/>
    <x v="0"/>
    <m/>
    <d v="2025-09-29T00:00:00"/>
    <m/>
    <n v="236"/>
    <n v="1"/>
    <n v="1"/>
  </r>
  <r>
    <s v="小熊"/>
    <s v="工作細胞繪本4"/>
    <s v="V"/>
    <d v="2025-09-23T00:00:00"/>
    <n v="236"/>
    <s v="MOMO"/>
    <x v="0"/>
    <m/>
    <d v="2025-09-29T00:00:00"/>
    <m/>
    <n v="236"/>
    <n v="1"/>
    <n v="1"/>
  </r>
  <r>
    <s v="小熊"/>
    <s v="工作細胞繪本5"/>
    <s v="V"/>
    <d v="2025-09-23T00:00:00"/>
    <n v="236"/>
    <s v="MOMO"/>
    <x v="0"/>
    <m/>
    <d v="2025-10-01T00:00:00"/>
    <m/>
    <n v="236"/>
    <n v="1"/>
    <n v="1"/>
  </r>
  <r>
    <s v="小熊"/>
    <s v="工作細胞繪本6"/>
    <s v="V"/>
    <d v="2025-11-01T00:00:00"/>
    <n v="206"/>
    <s v="MOMO"/>
    <x v="0"/>
    <m/>
    <d v="2025-11-04T00:00:00"/>
    <s v="雙11"/>
    <n v="206"/>
    <n v="1"/>
    <n v="1"/>
  </r>
  <r>
    <s v="小熊"/>
    <s v="半神鈴音丸1"/>
    <m/>
    <d v="2025-05-15T00:00:00"/>
    <n v="182.85714285714286"/>
    <s v="MOMO"/>
    <x v="0"/>
    <m/>
    <m/>
    <m/>
    <n v="182.85714285714286"/>
    <s v=""/>
    <n v="1"/>
  </r>
  <r>
    <s v="小熊"/>
    <s v="半神鈴音丸2"/>
    <m/>
    <d v="2025-05-15T00:00:00"/>
    <n v="182.85714285714286"/>
    <s v="MOMO"/>
    <x v="0"/>
    <m/>
    <m/>
    <m/>
    <n v="182.85714285714286"/>
    <s v=""/>
    <n v="1"/>
  </r>
  <r>
    <s v="小熊"/>
    <s v="半神鈴音丸3"/>
    <m/>
    <d v="2025-05-15T00:00:00"/>
    <n v="182.85714285714286"/>
    <s v="MOMO"/>
    <x v="0"/>
    <m/>
    <m/>
    <m/>
    <n v="182.85714285714286"/>
    <s v=""/>
    <n v="1"/>
  </r>
  <r>
    <s v="小熊"/>
    <s v="半神鈴音丸4"/>
    <m/>
    <d v="2025-05-15T00:00:00"/>
    <n v="182.85714285714286"/>
    <s v="MOMO"/>
    <x v="0"/>
    <m/>
    <m/>
    <m/>
    <n v="182.85714285714286"/>
    <s v=""/>
    <n v="1"/>
  </r>
  <r>
    <s v="小熊"/>
    <s v="半神鈴音丸5"/>
    <m/>
    <d v="2025-05-15T00:00:00"/>
    <n v="182.85714285714286"/>
    <s v="MOMO"/>
    <x v="0"/>
    <m/>
    <m/>
    <m/>
    <n v="182.85714285714286"/>
    <s v=""/>
    <n v="1"/>
  </r>
  <r>
    <s v="小熊"/>
    <s v="半神鈴音丸6"/>
    <m/>
    <d v="2025-05-15T00:00:00"/>
    <n v="182.85714285714286"/>
    <s v="MOMO"/>
    <x v="0"/>
    <m/>
    <m/>
    <m/>
    <n v="182.85714285714286"/>
    <s v=""/>
    <n v="1"/>
  </r>
  <r>
    <s v="小熊"/>
    <s v="半神鈴音丸7"/>
    <m/>
    <d v="2025-05-15T00:00:00"/>
    <n v="182.85714285714286"/>
    <s v="MOMO"/>
    <x v="0"/>
    <m/>
    <m/>
    <m/>
    <n v="182.85714285714286"/>
    <s v=""/>
    <n v="1"/>
  </r>
  <r>
    <s v="小熊"/>
    <s v="汽水偵探1"/>
    <s v="V"/>
    <d v="2025-04-19T00:00:00"/>
    <n v="207.8"/>
    <s v="MOMO"/>
    <x v="14"/>
    <d v="2026-01-01T00:00:00"/>
    <d v="2025-12-09T00:00:00"/>
    <m/>
    <n v="3.8000000000000114"/>
    <n v="1"/>
    <n v="1"/>
  </r>
  <r>
    <s v="小熊"/>
    <s v="汽水偵探2"/>
    <s v="V"/>
    <d v="2025-04-19T00:00:00"/>
    <n v="207.8"/>
    <s v="MOMO"/>
    <x v="14"/>
    <d v="2026-01-01T00:00:00"/>
    <d v="2025-12-12T00:00:00"/>
    <m/>
    <n v="3.8000000000000114"/>
    <n v="1"/>
    <n v="1"/>
  </r>
  <r>
    <s v="小熊"/>
    <s v="汽水偵探3"/>
    <s v="V"/>
    <d v="2025-04-19T00:00:00"/>
    <n v="207.8"/>
    <s v="MOMO"/>
    <x v="14"/>
    <d v="2026-01-01T00:00:00"/>
    <d v="2025-12-11T00:00:00"/>
    <m/>
    <n v="3.8000000000000114"/>
    <n v="1"/>
    <n v="1"/>
  </r>
  <r>
    <s v="小熊"/>
    <s v="汽水偵探4"/>
    <s v="V"/>
    <d v="2025-04-19T00:00:00"/>
    <n v="207.8"/>
    <s v="MOMO"/>
    <x v="14"/>
    <d v="2026-01-01T00:00:00"/>
    <d v="2025-12-08T00:00:00"/>
    <m/>
    <n v="3.8000000000000114"/>
    <n v="1"/>
    <n v="1"/>
  </r>
  <r>
    <s v="小熊"/>
    <s v="汽水偵探5"/>
    <s v="V"/>
    <d v="2025-04-19T00:00:00"/>
    <n v="207.8"/>
    <s v="MOMO"/>
    <x v="14"/>
    <d v="2026-01-01T00:00:00"/>
    <d v="2025-12-13T00:00:00"/>
    <m/>
    <n v="3.8000000000000114"/>
    <n v="1"/>
    <n v="1"/>
  </r>
  <r>
    <s v="木馬文化"/>
    <s v="荒島食驗家1-過貓泡麵"/>
    <s v="V"/>
    <d v="2025-10-17T00:00:00"/>
    <n v="194"/>
    <s v="MOMO"/>
    <x v="0"/>
    <m/>
    <d v="2025-10-26T00:00:00"/>
    <m/>
    <n v="194"/>
    <n v="1"/>
    <n v="1"/>
  </r>
  <r>
    <s v="木馬文化"/>
    <s v="荒島食驗家2-野薑花煮魚"/>
    <s v="V"/>
    <d v="2025-10-18T00:00:00"/>
    <n v="194"/>
    <s v="MOMO"/>
    <x v="0"/>
    <m/>
    <d v="2025-10-29T00:00:00"/>
    <m/>
    <n v="194"/>
    <n v="1"/>
    <n v="1"/>
  </r>
  <r>
    <s v="木馬文化"/>
    <s v="荒島食驗家3-檸檬牡蠣炊飯"/>
    <s v="V"/>
    <d v="2025-10-19T00:00:00"/>
    <n v="194"/>
    <s v="MOMO"/>
    <x v="0"/>
    <m/>
    <d v="2025-11-02T00:00:00"/>
    <m/>
    <n v="194"/>
    <n v="1"/>
    <n v="1"/>
  </r>
  <r>
    <s v="小天下"/>
    <s v="梅子老師這一班1"/>
    <m/>
    <d v="2025-12-01T00:00:00"/>
    <n v="177"/>
    <s v="MOMO"/>
    <x v="0"/>
    <m/>
    <m/>
    <m/>
    <n v="177"/>
    <s v=""/>
    <n v="1"/>
  </r>
  <r>
    <s v="小天下"/>
    <s v="梅子老師這一班2"/>
    <m/>
    <d v="2025-12-01T00:00:00"/>
    <n v="177"/>
    <s v="MOMO"/>
    <x v="0"/>
    <m/>
    <m/>
    <m/>
    <n v="177"/>
    <s v=""/>
    <n v="1"/>
  </r>
  <r>
    <s v="小天下"/>
    <s v="梅子老師這一班3"/>
    <m/>
    <d v="2025-12-01T00:00:00"/>
    <n v="177"/>
    <s v="MOMO"/>
    <x v="0"/>
    <m/>
    <m/>
    <m/>
    <n v="177"/>
    <s v=""/>
    <n v="1"/>
  </r>
  <r>
    <s v="小天下"/>
    <s v="梅子老師這一班4"/>
    <m/>
    <d v="2025-12-01T00:00:00"/>
    <n v="177"/>
    <s v="MOMO"/>
    <x v="0"/>
    <m/>
    <m/>
    <m/>
    <n v="177"/>
    <s v=""/>
    <n v="1"/>
  </r>
  <r>
    <s v="小天下"/>
    <s v="梅子老師這一班5-什麼？老師不教了！"/>
    <s v="V"/>
    <d v="2025-12-01T00:00:00"/>
    <n v="177"/>
    <s v="MOMO"/>
    <x v="0"/>
    <m/>
    <d v="2026-03-15T00:00:00"/>
    <m/>
    <n v="177"/>
    <n v="1"/>
    <n v="1"/>
  </r>
  <r>
    <s v="小天下"/>
    <s v="梅子老師這一班6"/>
    <m/>
    <d v="2025-12-01T00:00:00"/>
    <n v="177"/>
    <s v="MOMO"/>
    <x v="0"/>
    <m/>
    <m/>
    <m/>
    <n v="177"/>
    <s v=""/>
    <n v="1"/>
  </r>
  <r>
    <s v="小天下"/>
    <s v="梅子老師這一班7"/>
    <m/>
    <d v="2025-12-01T00:00:00"/>
    <n v="177"/>
    <s v="MOMO"/>
    <x v="0"/>
    <m/>
    <m/>
    <m/>
    <n v="177"/>
    <s v=""/>
    <n v="1"/>
  </r>
  <r>
    <s v="小天下"/>
    <s v="小小科學人：100人體大發現"/>
    <m/>
    <d v="2025-10-07T00:00:00"/>
    <n v="365"/>
    <s v="博客來"/>
    <x v="0"/>
    <m/>
    <m/>
    <m/>
    <n v="365"/>
    <s v=""/>
    <n v="1"/>
  </r>
  <r>
    <s v="小天下"/>
    <s v="小小科學人：100食物大發現"/>
    <m/>
    <d v="2025-10-07T00:00:00"/>
    <n v="302"/>
    <s v="博客來"/>
    <x v="0"/>
    <m/>
    <m/>
    <m/>
    <n v="302"/>
    <s v=""/>
    <n v="1"/>
  </r>
  <r>
    <s v="小天下"/>
    <s v="情緒遊樂園"/>
    <s v="X"/>
    <d v="2024-11-11T00:00:00"/>
    <n v="193.85714285714286"/>
    <s v="MOMO"/>
    <x v="15"/>
    <d v="2025-11-29T00:00:00"/>
    <m/>
    <m/>
    <n v="10.251428571428562"/>
    <n v="0"/>
    <n v="1"/>
  </r>
  <r>
    <s v="小天下"/>
    <s v="安心國小1"/>
    <s v="V"/>
    <d v="2024-11-11T00:00:00"/>
    <n v="193.85714285714286"/>
    <s v="MOMO"/>
    <x v="15"/>
    <d v="2025-11-29T00:00:00"/>
    <m/>
    <m/>
    <n v="10.251428571428562"/>
    <n v="1"/>
    <n v="1"/>
  </r>
  <r>
    <s v="小天下"/>
    <s v="安心國小2"/>
    <s v="V"/>
    <d v="2024-11-11T00:00:00"/>
    <n v="193.85714285714286"/>
    <s v="MOMO"/>
    <x v="15"/>
    <d v="2025-11-29T00:00:00"/>
    <m/>
    <m/>
    <n v="10.251428571428562"/>
    <n v="1"/>
    <n v="1"/>
  </r>
  <r>
    <s v="小天下"/>
    <s v="安心國小3"/>
    <s v="V"/>
    <d v="2024-11-11T00:00:00"/>
    <n v="193.85714285714286"/>
    <s v="MOMO"/>
    <x v="15"/>
    <d v="2025-11-29T00:00:00"/>
    <m/>
    <m/>
    <n v="10.251428571428562"/>
    <n v="1"/>
    <n v="1"/>
  </r>
  <r>
    <s v="小天下"/>
    <s v="安心國小4"/>
    <s v="V"/>
    <d v="2024-11-11T00:00:00"/>
    <n v="193.85714285714286"/>
    <s v="MOMO"/>
    <x v="15"/>
    <d v="2025-11-29T00:00:00"/>
    <m/>
    <m/>
    <n v="10.251428571428562"/>
    <n v="1"/>
    <n v="1"/>
  </r>
  <r>
    <s v="小天下"/>
    <s v="安心國小5"/>
    <s v="V"/>
    <d v="2024-11-11T00:00:00"/>
    <n v="193.85714285714286"/>
    <s v="MOMO"/>
    <x v="15"/>
    <d v="2025-11-29T00:00:00"/>
    <m/>
    <m/>
    <n v="10.251428571428562"/>
    <n v="1"/>
    <n v="1"/>
  </r>
  <r>
    <s v="小天下"/>
    <s v="安心國小6"/>
    <s v="V"/>
    <d v="2024-11-11T00:00:00"/>
    <n v="193.85714285714286"/>
    <s v="MOMO"/>
    <x v="15"/>
    <d v="2025-11-29T00:00:00"/>
    <m/>
    <m/>
    <n v="10.251428571428562"/>
    <n v="1"/>
    <n v="1"/>
  </r>
  <r>
    <s v="小天下"/>
    <s v="安心國小7"/>
    <s v="V"/>
    <d v="2025-04-07T00:00:00"/>
    <n v="252"/>
    <s v="博客來"/>
    <x v="16"/>
    <d v="2026-01-06T00:00:00"/>
    <m/>
    <m/>
    <n v="43.25"/>
    <n v="1"/>
    <n v="1"/>
  </r>
  <r>
    <s v="小天下"/>
    <s v="安心國小8"/>
    <s v="V"/>
    <d v="2025-04-07T00:00:00"/>
    <n v="252"/>
    <s v="博客來"/>
    <x v="16"/>
    <d v="2026-01-06T00:00:00"/>
    <m/>
    <m/>
    <n v="43.25"/>
    <n v="1"/>
    <n v="1"/>
  </r>
  <r>
    <s v="小天下"/>
    <s v="安心國小9"/>
    <s v="V"/>
    <d v="2025-04-07T00:00:00"/>
    <n v="252"/>
    <s v="博客來"/>
    <x v="16"/>
    <d v="2026-01-06T00:00:00"/>
    <m/>
    <m/>
    <n v="43.25"/>
    <n v="1"/>
    <n v="1"/>
  </r>
  <r>
    <s v="小天下"/>
    <s v="安心國小10"/>
    <s v="V"/>
    <d v="2025-04-07T00:00:00"/>
    <n v="252"/>
    <s v="博客來"/>
    <x v="16"/>
    <d v="2026-01-06T00:00:00"/>
    <m/>
    <m/>
    <n v="43.25"/>
    <n v="1"/>
    <n v="1"/>
  </r>
  <r>
    <s v="小天下"/>
    <s v="安心國小11"/>
    <s v="V"/>
    <d v="2025-10-07T00:00:00"/>
    <n v="227.5"/>
    <s v="博客來"/>
    <x v="17"/>
    <d v="2025-12-19T00:00:00"/>
    <d v="2025-10-24T00:00:00"/>
    <m/>
    <n v="7"/>
    <n v="1"/>
    <n v="1"/>
  </r>
  <r>
    <s v="小天下"/>
    <s v="安心國小12"/>
    <s v="V"/>
    <d v="2025-10-07T00:00:00"/>
    <n v="227.5"/>
    <s v="博客來"/>
    <x v="17"/>
    <d v="2025-12-19T00:00:00"/>
    <d v="2025-10-25T00:00:00"/>
    <m/>
    <n v="7"/>
    <n v="1"/>
    <n v="1"/>
  </r>
  <r>
    <s v="國語日報"/>
    <s v="三字經小學堂1：古人也有煩惱嗎？"/>
    <m/>
    <d v="2025-09-30T00:00:00"/>
    <n v="210"/>
    <s v="MOMO"/>
    <x v="0"/>
    <m/>
    <m/>
    <m/>
    <n v="210"/>
    <s v=""/>
    <n v="1"/>
  </r>
  <r>
    <s v="國語日報"/>
    <s v="三字經小學堂2：古人也有煩惱嗎？"/>
    <m/>
    <d v="2025-09-30T00:00:00"/>
    <n v="210"/>
    <s v="MOMO"/>
    <x v="0"/>
    <m/>
    <m/>
    <m/>
    <n v="210"/>
    <s v=""/>
    <n v="1"/>
  </r>
  <r>
    <s v="國語日報"/>
    <s v="三字經小學堂3：古人也有煩惱嗎？"/>
    <m/>
    <d v="2025-09-30T00:00:00"/>
    <n v="204"/>
    <s v="MOMO"/>
    <x v="0"/>
    <m/>
    <m/>
    <m/>
    <n v="204"/>
    <s v=""/>
    <n v="1"/>
  </r>
  <r>
    <s v="小兵"/>
    <s v="香腸班長妙老師1"/>
    <s v="V"/>
    <d v="2025-09-30T00:00:00"/>
    <n v="198"/>
    <s v="團書"/>
    <x v="0"/>
    <m/>
    <d v="2025-09-28T00:00:00"/>
    <s v="2026/2/1二刷"/>
    <n v="198"/>
    <n v="1"/>
    <n v="1"/>
  </r>
  <r>
    <s v="小兵"/>
    <s v="香腸班長妙老師2"/>
    <s v="V"/>
    <d v="2025-09-30T00:00:00"/>
    <n v="198"/>
    <s v="團書"/>
    <x v="0"/>
    <m/>
    <d v="2025-10-14T00:00:00"/>
    <s v="2026/4/14二刷"/>
    <n v="198"/>
    <n v="1"/>
    <n v="1"/>
  </r>
  <r>
    <s v="小兵"/>
    <s v="香腸班長妙老師3"/>
    <s v="V"/>
    <d v="2025-09-30T00:00:00"/>
    <n v="198"/>
    <s v="團書"/>
    <x v="0"/>
    <m/>
    <d v="2025-10-17T00:00:00"/>
    <m/>
    <n v="198"/>
    <n v="1"/>
    <n v="1"/>
  </r>
  <r>
    <s v="小兵"/>
    <s v="香腸班長妙老師4"/>
    <s v="V"/>
    <d v="2025-09-30T00:00:00"/>
    <n v="198"/>
    <s v="團書"/>
    <x v="0"/>
    <m/>
    <d v="2025-10-21T00:00:00"/>
    <m/>
    <n v="198"/>
    <n v="1"/>
    <n v="1"/>
  </r>
  <r>
    <s v="小兵"/>
    <s v="小四愛作怪1"/>
    <s v="V"/>
    <d v="2025-09-30T00:00:00"/>
    <n v="184.83333333333334"/>
    <s v="團書"/>
    <x v="0"/>
    <m/>
    <d v="2026-01-18T00:00:00"/>
    <m/>
    <n v="184.83333333333334"/>
    <n v="1"/>
    <n v="1"/>
  </r>
  <r>
    <s v="小兵"/>
    <s v="小四愛作怪2"/>
    <s v="V"/>
    <d v="2025-09-30T00:00:00"/>
    <n v="184.83333333333334"/>
    <s v="團書"/>
    <x v="0"/>
    <m/>
    <d v="2026-02-09T00:00:00"/>
    <m/>
    <n v="184.83333333333334"/>
    <n v="1"/>
    <n v="1"/>
  </r>
  <r>
    <s v="小兵"/>
    <s v="小四愛作怪3"/>
    <m/>
    <d v="2025-09-30T00:00:00"/>
    <n v="184.83333333333334"/>
    <s v="團書"/>
    <x v="0"/>
    <m/>
    <m/>
    <m/>
    <n v="184.83333333333334"/>
    <s v=""/>
    <n v="1"/>
  </r>
  <r>
    <s v="小兵"/>
    <s v="小四愛作怪4"/>
    <m/>
    <d v="2025-09-30T00:00:00"/>
    <n v="184.83333333333334"/>
    <s v="團書"/>
    <x v="0"/>
    <m/>
    <m/>
    <m/>
    <n v="184.83333333333334"/>
    <s v=""/>
    <n v="1"/>
  </r>
  <r>
    <s v="小兵"/>
    <s v="小四愛作怪5"/>
    <m/>
    <d v="2025-09-30T00:00:00"/>
    <n v="184.83333333333334"/>
    <s v="團書"/>
    <x v="0"/>
    <m/>
    <m/>
    <m/>
    <n v="184.83333333333334"/>
    <s v=""/>
    <n v="1"/>
  </r>
  <r>
    <s v="小兵"/>
    <s v="小四愛作怪6"/>
    <m/>
    <d v="2025-09-30T00:00:00"/>
    <n v="184.83333333333334"/>
    <s v="團書"/>
    <x v="0"/>
    <m/>
    <m/>
    <m/>
    <n v="184.83333333333334"/>
    <s v=""/>
    <n v="1"/>
  </r>
  <r>
    <s v="小兵"/>
    <s v="草莓心事三部曲1"/>
    <m/>
    <d v="2025-09-30T00:00:00"/>
    <n v="184.66666666666666"/>
    <s v="團書"/>
    <x v="0"/>
    <m/>
    <m/>
    <m/>
    <n v="184.66666666666666"/>
    <s v=""/>
    <n v="1"/>
  </r>
  <r>
    <s v="小兵"/>
    <s v="草莓心事三部曲2"/>
    <m/>
    <d v="2025-09-30T00:00:00"/>
    <n v="184.66666666666666"/>
    <s v="團書"/>
    <x v="0"/>
    <m/>
    <m/>
    <m/>
    <n v="184.66666666666666"/>
    <s v=""/>
    <n v="1"/>
  </r>
  <r>
    <s v="小兵"/>
    <s v="草莓心事三部曲3"/>
    <m/>
    <d v="2025-09-30T00:00:00"/>
    <n v="184.66666666666666"/>
    <s v="團書"/>
    <x v="0"/>
    <m/>
    <m/>
    <m/>
    <n v="184.66666666666666"/>
    <s v=""/>
    <n v="1"/>
  </r>
  <r>
    <s v="小樹"/>
    <s v="大豐國小族球隊1"/>
    <m/>
    <d v="2025-07-29T00:00:00"/>
    <n v="270"/>
    <s v="團書"/>
    <x v="0"/>
    <m/>
    <m/>
    <m/>
    <n v="270"/>
    <s v=""/>
    <n v="1"/>
  </r>
  <r>
    <s v="野人"/>
    <s v="萌漫大話成語王1"/>
    <m/>
    <d v="2025-07-29T00:00:00"/>
    <n v="291"/>
    <s v="團書"/>
    <x v="0"/>
    <m/>
    <m/>
    <m/>
    <n v="291"/>
    <s v=""/>
    <n v="1"/>
  </r>
  <r>
    <s v="野人"/>
    <s v="穿越古代當神探1"/>
    <m/>
    <d v="2025-07-29T00:00:00"/>
    <n v="247.5"/>
    <s v="團書"/>
    <x v="0"/>
    <m/>
    <m/>
    <m/>
    <n v="247.5"/>
    <s v=""/>
    <n v="1"/>
  </r>
  <r>
    <s v="野人"/>
    <s v="穿越古代當神探2"/>
    <m/>
    <d v="2025-07-29T00:00:00"/>
    <n v="247.5"/>
    <s v="團書"/>
    <x v="0"/>
    <m/>
    <m/>
    <m/>
    <n v="247.5"/>
    <s v=""/>
    <n v="1"/>
  </r>
  <r>
    <s v="野人"/>
    <s v="穿越古代當神探3"/>
    <m/>
    <d v="2025-07-29T00:00:00"/>
    <n v="247.5"/>
    <s v="團書"/>
    <x v="0"/>
    <m/>
    <m/>
    <m/>
    <n v="247.5"/>
    <s v=""/>
    <n v="1"/>
  </r>
  <r>
    <s v="野人"/>
    <s v="穿越古代當神探4"/>
    <m/>
    <d v="2025-07-29T00:00:00"/>
    <n v="247.5"/>
    <s v="團書"/>
    <x v="0"/>
    <m/>
    <m/>
    <m/>
    <n v="247.5"/>
    <s v=""/>
    <n v="1"/>
  </r>
  <r>
    <s v="時報"/>
    <s v="小王子立體書"/>
    <m/>
    <d v="2025-07-24T00:00:00"/>
    <n v="1393"/>
    <s v="團書"/>
    <x v="0"/>
    <m/>
    <m/>
    <m/>
    <n v="1393"/>
    <s v=""/>
    <n v="1"/>
  </r>
  <r>
    <s v="時報"/>
    <s v="法布爾昆蟲記立體書"/>
    <m/>
    <d v="2025-07-24T00:00:00"/>
    <n v="903"/>
    <s v="團書"/>
    <x v="0"/>
    <m/>
    <m/>
    <m/>
    <n v="903"/>
    <s v=""/>
    <n v="1"/>
  </r>
  <r>
    <s v="東雨"/>
    <s v="口袋神探-尖端科技篇3"/>
    <m/>
    <d v="2025-06-24T00:00:00"/>
    <n v="199"/>
    <s v="團書"/>
    <x v="0"/>
    <m/>
    <m/>
    <m/>
    <n v="199"/>
    <s v=""/>
    <n v="1"/>
  </r>
  <r>
    <s v="東雨"/>
    <s v="綠野仙蹤1-神秘的魔法師"/>
    <s v="V"/>
    <d v="2025-06-24T00:00:00"/>
    <n v="100"/>
    <s v="團書"/>
    <x v="0"/>
    <m/>
    <d v="2026-01-26T00:00:00"/>
    <m/>
    <n v="100"/>
    <n v="1"/>
    <n v="1"/>
  </r>
  <r>
    <s v="東雨"/>
    <s v="公平？不公平？教你獨立思考，如何判斷！"/>
    <s v="V"/>
    <d v="2025-06-24T00:00:00"/>
    <n v="100"/>
    <s v="團書"/>
    <x v="18"/>
    <d v="2026-01-31T00:00:00"/>
    <d v="2025-12-21T00:00:00"/>
    <m/>
    <n v="-63"/>
    <n v="1"/>
    <n v="1"/>
  </r>
  <r>
    <s v="東雨"/>
    <s v="三分天下、十分搞笑的三國演義1"/>
    <m/>
    <d v="2025-06-24T00:00:00"/>
    <n v="225"/>
    <s v="團書"/>
    <x v="0"/>
    <m/>
    <m/>
    <m/>
    <n v="225"/>
    <s v=""/>
    <n v="1"/>
  </r>
  <r>
    <s v="東雨"/>
    <s v="三分天下、十分搞笑的三國演義2"/>
    <m/>
    <d v="2025-06-24T00:00:00"/>
    <n v="225"/>
    <s v="團書"/>
    <x v="0"/>
    <m/>
    <m/>
    <m/>
    <n v="225"/>
    <s v=""/>
    <n v="1"/>
  </r>
  <r>
    <s v="東雨"/>
    <s v="臭屁實習偵探1"/>
    <s v="V"/>
    <d v="2025-06-24T00:00:00"/>
    <n v="184.66666666666666"/>
    <s v="團書"/>
    <x v="0"/>
    <m/>
    <m/>
    <m/>
    <n v="184.66666666666666"/>
    <n v="1"/>
    <n v="1"/>
  </r>
  <r>
    <s v="東雨"/>
    <s v="臭屁實習偵探2"/>
    <s v="V"/>
    <d v="2025-06-24T00:00:00"/>
    <n v="184.66666666666666"/>
    <s v="團書"/>
    <x v="0"/>
    <m/>
    <d v="2025-09-14T00:00:00"/>
    <m/>
    <n v="184.66666666666666"/>
    <n v="1"/>
    <n v="1"/>
  </r>
  <r>
    <s v="東雨"/>
    <s v="臭屁實習偵探3"/>
    <s v="V"/>
    <d v="2025-06-24T00:00:00"/>
    <n v="184.66666666666666"/>
    <s v="團書"/>
    <x v="0"/>
    <m/>
    <d v="2025-10-04T00:00:00"/>
    <m/>
    <n v="184.66666666666666"/>
    <n v="1"/>
    <n v="1"/>
  </r>
  <r>
    <s v="東雨"/>
    <s v="歷史人物在我們班1"/>
    <m/>
    <d v="2025-06-24T00:00:00"/>
    <n v="200"/>
    <s v="團書"/>
    <x v="0"/>
    <m/>
    <m/>
    <m/>
    <n v="200"/>
    <s v=""/>
    <n v="1"/>
  </r>
  <r>
    <s v="東雨"/>
    <s v="歷史人物在我們班2"/>
    <m/>
    <d v="2025-06-24T00:00:00"/>
    <n v="200"/>
    <s v="團書"/>
    <x v="0"/>
    <m/>
    <m/>
    <m/>
    <n v="200"/>
    <s v=""/>
    <n v="1"/>
  </r>
  <r>
    <s v="東雨"/>
    <s v="歷史人物在我們班3"/>
    <m/>
    <d v="2025-06-24T00:00:00"/>
    <n v="200"/>
    <s v="團書"/>
    <x v="0"/>
    <m/>
    <m/>
    <m/>
    <n v="200"/>
    <s v=""/>
    <n v="1"/>
  </r>
  <r>
    <s v="東雨"/>
    <s v="歷史人物在我們班4"/>
    <m/>
    <d v="2025-06-24T00:00:00"/>
    <n v="200"/>
    <s v="團書"/>
    <x v="0"/>
    <m/>
    <m/>
    <m/>
    <n v="200"/>
    <s v=""/>
    <n v="1"/>
  </r>
  <r>
    <s v="東雨"/>
    <s v="歷史人物在我們班5"/>
    <m/>
    <d v="2025-06-24T00:00:00"/>
    <n v="200"/>
    <s v="團書"/>
    <x v="0"/>
    <m/>
    <m/>
    <m/>
    <n v="200"/>
    <s v=""/>
    <n v="1"/>
  </r>
  <r>
    <s v="東雨"/>
    <s v="7歲名偵探-小福爾摩斯1-遊樂園有鬼"/>
    <s v="V"/>
    <d v="2025-06-24T00:00:00"/>
    <n v="100"/>
    <s v="團書"/>
    <x v="19"/>
    <d v="2025-11-29T00:00:00"/>
    <d v="2025-10-26T00:00:00"/>
    <m/>
    <n v="-15.625"/>
    <n v="1"/>
    <n v="1"/>
  </r>
  <r>
    <s v="東雨"/>
    <s v="寫給中小學生的工作圖鑑"/>
    <m/>
    <d v="2026-01-15T00:00:00"/>
    <n v="261"/>
    <s v="回頭書"/>
    <x v="0"/>
    <m/>
    <m/>
    <m/>
    <n v="261"/>
    <s v=""/>
    <n v="1"/>
  </r>
  <r>
    <s v="東雨"/>
    <s v="妖怪學園（1）：妖怪開學日"/>
    <m/>
    <d v="2026-01-15T00:00:00"/>
    <n v="144"/>
    <s v="回頭書"/>
    <x v="0"/>
    <m/>
    <m/>
    <m/>
    <n v="144"/>
    <s v=""/>
    <n v="1"/>
  </r>
  <r>
    <s v="東雨"/>
    <s v="妖怪學園（2）：放學後的神祕郵件"/>
    <m/>
    <d v="2026-01-15T00:00:00"/>
    <n v="144"/>
    <s v="回頭書"/>
    <x v="0"/>
    <m/>
    <m/>
    <m/>
    <n v="144"/>
    <s v=""/>
    <n v="1"/>
  </r>
  <r>
    <s v="東雨"/>
    <s v="出發吧！科學露營車1 洞穴地質與生態"/>
    <m/>
    <d v="2026-01-15T00:00:00"/>
    <n v="180"/>
    <s v="回頭書"/>
    <x v="0"/>
    <m/>
    <m/>
    <m/>
    <n v="180"/>
    <s v=""/>
    <n v="1"/>
  </r>
  <r>
    <s v="東雨"/>
    <s v="圖解10歲就懂的AI入門"/>
    <m/>
    <d v="2026-01-15T00:00:00"/>
    <n v="171"/>
    <s v="回頭書"/>
    <x v="0"/>
    <m/>
    <m/>
    <m/>
    <n v="171"/>
    <s v=""/>
    <n v="1"/>
  </r>
  <r>
    <s v="東雨"/>
    <s v="超有趣!看漫畫學三國成語②:曹操統一北方.赤壁之戰"/>
    <m/>
    <d v="2026-01-15T00:00:00"/>
    <n v="171"/>
    <s v="回頭書"/>
    <x v="0"/>
    <m/>
    <m/>
    <m/>
    <n v="171"/>
    <s v=""/>
    <n v="1"/>
  </r>
  <r>
    <s v="東雨"/>
    <s v="超有趣！看漫畫學三國成語①：董卓亂政．群雄割據"/>
    <m/>
    <d v="2026-01-15T00:00:00"/>
    <n v="171"/>
    <s v="回頭書"/>
    <x v="0"/>
    <m/>
    <m/>
    <m/>
    <n v="171"/>
    <s v=""/>
    <n v="1"/>
  </r>
  <r>
    <s v="三采"/>
    <s v="只是開玩笑，竟然變被告1"/>
    <m/>
    <d v="2025-12-18T00:00:00"/>
    <n v="235"/>
    <s v="蝦皮"/>
    <x v="0"/>
    <m/>
    <m/>
    <m/>
    <n v="235"/>
    <s v=""/>
    <n v="1"/>
  </r>
  <r>
    <s v="三采"/>
    <s v="只是開玩笑，竟然變被告2"/>
    <m/>
    <d v="2025-12-18T00:00:00"/>
    <n v="235"/>
    <s v="蝦皮"/>
    <x v="0"/>
    <m/>
    <m/>
    <m/>
    <n v="235"/>
    <s v=""/>
    <n v="1"/>
  </r>
  <r>
    <s v="三采"/>
    <s v="只是開玩笑，竟然變被告3"/>
    <m/>
    <d v="2025-12-18T00:00:00"/>
    <n v="235"/>
    <s v="蝦皮"/>
    <x v="0"/>
    <m/>
    <m/>
    <m/>
    <n v="235"/>
    <s v=""/>
    <n v="1"/>
  </r>
  <r>
    <s v="三采"/>
    <s v="只是開玩笑，竟然變被告4"/>
    <m/>
    <d v="2025-12-18T00:00:00"/>
    <n v="235"/>
    <s v="蝦皮"/>
    <x v="0"/>
    <m/>
    <m/>
    <m/>
    <n v="235"/>
    <s v=""/>
    <n v="1"/>
  </r>
  <r>
    <s v="三采"/>
    <s v="尋寶記1"/>
    <m/>
    <d v="2025-11-01T00:00:00"/>
    <n v="169.91428571428571"/>
    <s v="MOMO"/>
    <x v="0"/>
    <m/>
    <m/>
    <s v="雙11"/>
    <n v="169.91428571428571"/>
    <s v=""/>
    <n v="1"/>
  </r>
  <r>
    <s v="三采"/>
    <s v="尋寶記2"/>
    <m/>
    <d v="2025-11-01T00:00:00"/>
    <n v="169.91428571428571"/>
    <s v="MOMO"/>
    <x v="0"/>
    <m/>
    <m/>
    <s v="雙11"/>
    <n v="169.91428571428571"/>
    <s v=""/>
    <n v="1"/>
  </r>
  <r>
    <s v="三采"/>
    <s v="尋寶記3"/>
    <m/>
    <d v="2025-11-01T00:00:00"/>
    <n v="169.91428571428571"/>
    <s v="MOMO"/>
    <x v="0"/>
    <m/>
    <m/>
    <s v="雙11"/>
    <n v="169.91428571428571"/>
    <s v=""/>
    <n v="1"/>
  </r>
  <r>
    <s v="三采"/>
    <s v="尋寶記4"/>
    <m/>
    <d v="2025-11-01T00:00:00"/>
    <n v="169.91428571428571"/>
    <s v="MOMO"/>
    <x v="0"/>
    <m/>
    <m/>
    <s v="雙11"/>
    <n v="169.91428571428571"/>
    <s v=""/>
    <n v="1"/>
  </r>
  <r>
    <s v="三采"/>
    <s v="尋寶記5"/>
    <m/>
    <d v="2025-11-01T00:00:00"/>
    <n v="169.91428571428571"/>
    <s v="MOMO"/>
    <x v="0"/>
    <m/>
    <m/>
    <s v="雙11"/>
    <n v="169.91428571428571"/>
    <s v=""/>
    <n v="1"/>
  </r>
  <r>
    <s v="三采"/>
    <s v="尋寶記6-美國"/>
    <s v="V"/>
    <d v="2025-11-01T00:00:00"/>
    <n v="169.91428571428571"/>
    <s v="MOMO"/>
    <x v="0"/>
    <m/>
    <d v="2025-11-02T00:00:00"/>
    <s v="雙11"/>
    <n v="169.91428571428571"/>
    <n v="1"/>
    <n v="1"/>
  </r>
  <r>
    <s v="三采"/>
    <s v="尋寶記7"/>
    <m/>
    <d v="2025-11-01T00:00:00"/>
    <n v="169.91428571428571"/>
    <s v="MOMO"/>
    <x v="0"/>
    <m/>
    <m/>
    <s v="雙11"/>
    <n v="169.91428571428571"/>
    <s v=""/>
    <n v="1"/>
  </r>
  <r>
    <s v="三采"/>
    <s v="尋寶記8"/>
    <m/>
    <d v="2025-11-01T00:00:00"/>
    <n v="169.91428571428571"/>
    <s v="MOMO"/>
    <x v="0"/>
    <m/>
    <m/>
    <s v="雙11"/>
    <n v="169.91428571428571"/>
    <s v=""/>
    <n v="1"/>
  </r>
  <r>
    <s v="三采"/>
    <s v="尋寶記9"/>
    <m/>
    <d v="2025-11-01T00:00:00"/>
    <n v="169.91428571428571"/>
    <s v="MOMO"/>
    <x v="0"/>
    <m/>
    <m/>
    <s v="雙11"/>
    <n v="169.91428571428571"/>
    <s v=""/>
    <n v="1"/>
  </r>
  <r>
    <s v="三采"/>
    <s v="尋寶記10"/>
    <m/>
    <d v="2025-11-01T00:00:00"/>
    <n v="169.91428571428571"/>
    <s v="MOMO"/>
    <x v="0"/>
    <m/>
    <m/>
    <s v="雙11"/>
    <n v="169.91428571428571"/>
    <s v=""/>
    <n v="1"/>
  </r>
  <r>
    <s v="三采"/>
    <s v="尋寶記11"/>
    <m/>
    <d v="2025-11-01T00:00:00"/>
    <n v="169.91428571428571"/>
    <s v="MOMO"/>
    <x v="0"/>
    <m/>
    <m/>
    <s v="雙11"/>
    <n v="169.91428571428571"/>
    <s v=""/>
    <n v="1"/>
  </r>
  <r>
    <s v="三采"/>
    <s v="尋寶記12"/>
    <m/>
    <d v="2025-11-01T00:00:00"/>
    <n v="169.91428571428571"/>
    <s v="MOMO"/>
    <x v="0"/>
    <m/>
    <m/>
    <s v="雙11"/>
    <n v="169.91428571428571"/>
    <s v=""/>
    <n v="1"/>
  </r>
  <r>
    <s v="三采"/>
    <s v="尋寶記13"/>
    <m/>
    <d v="2025-11-01T00:00:00"/>
    <n v="169.91428571428571"/>
    <s v="MOMO"/>
    <x v="0"/>
    <m/>
    <m/>
    <s v="雙11"/>
    <n v="169.91428571428571"/>
    <s v=""/>
    <n v="1"/>
  </r>
  <r>
    <s v="三采"/>
    <s v="尋寶記14"/>
    <m/>
    <d v="2025-11-01T00:00:00"/>
    <n v="169.91428571428571"/>
    <s v="MOMO"/>
    <x v="0"/>
    <m/>
    <m/>
    <s v="雙11"/>
    <n v="169.91428571428571"/>
    <s v=""/>
    <n v="1"/>
  </r>
  <r>
    <s v="三采"/>
    <s v="尋寶記15"/>
    <m/>
    <d v="2025-11-01T00:00:00"/>
    <n v="169.91428571428571"/>
    <s v="MOMO"/>
    <x v="0"/>
    <m/>
    <m/>
    <s v="雙11"/>
    <n v="169.91428571428571"/>
    <s v=""/>
    <n v="1"/>
  </r>
  <r>
    <s v="三采"/>
    <s v="尋寶記16"/>
    <m/>
    <d v="2025-11-01T00:00:00"/>
    <n v="169.91428571428571"/>
    <s v="MOMO"/>
    <x v="0"/>
    <m/>
    <m/>
    <s v="雙11"/>
    <n v="169.91428571428571"/>
    <s v=""/>
    <n v="1"/>
  </r>
  <r>
    <s v="三采"/>
    <s v="尋寶記17"/>
    <m/>
    <d v="2025-11-01T00:00:00"/>
    <n v="169.91428571428571"/>
    <s v="MOMO"/>
    <x v="0"/>
    <m/>
    <m/>
    <s v="雙11"/>
    <n v="169.91428571428571"/>
    <s v=""/>
    <n v="1"/>
  </r>
  <r>
    <s v="三采"/>
    <s v="尋寶記18"/>
    <m/>
    <d v="2025-11-01T00:00:00"/>
    <n v="169.91428571428571"/>
    <s v="MOMO"/>
    <x v="0"/>
    <m/>
    <m/>
    <s v="雙11"/>
    <n v="169.91428571428571"/>
    <s v=""/>
    <n v="1"/>
  </r>
  <r>
    <s v="三采"/>
    <s v="尋寶記19"/>
    <m/>
    <d v="2025-11-01T00:00:00"/>
    <n v="169.91428571428571"/>
    <s v="MOMO"/>
    <x v="0"/>
    <m/>
    <m/>
    <s v="雙11"/>
    <n v="169.91428571428571"/>
    <s v=""/>
    <n v="1"/>
  </r>
  <r>
    <s v="三采"/>
    <s v="尋寶記20"/>
    <m/>
    <d v="2025-11-01T00:00:00"/>
    <n v="169.91428571428571"/>
    <s v="MOMO"/>
    <x v="0"/>
    <m/>
    <m/>
    <s v="雙11"/>
    <n v="169.91428571428571"/>
    <s v=""/>
    <n v="1"/>
  </r>
  <r>
    <s v="三采"/>
    <s v="尋寶記21"/>
    <m/>
    <d v="2025-11-01T00:00:00"/>
    <n v="169.91428571428571"/>
    <s v="MOMO"/>
    <x v="0"/>
    <m/>
    <m/>
    <s v="雙11"/>
    <n v="169.91428571428571"/>
    <s v=""/>
    <n v="1"/>
  </r>
  <r>
    <s v="三采"/>
    <s v="尋寶記22"/>
    <m/>
    <d v="2025-11-01T00:00:00"/>
    <n v="169.91428571428571"/>
    <s v="MOMO"/>
    <x v="0"/>
    <m/>
    <m/>
    <s v="雙11"/>
    <n v="169.91428571428571"/>
    <s v=""/>
    <n v="1"/>
  </r>
  <r>
    <s v="三采"/>
    <s v="尋寶記23"/>
    <m/>
    <d v="2025-11-01T00:00:00"/>
    <n v="169.91428571428571"/>
    <s v="MOMO"/>
    <x v="0"/>
    <m/>
    <m/>
    <s v="雙11"/>
    <n v="169.91428571428571"/>
    <s v=""/>
    <n v="1"/>
  </r>
  <r>
    <s v="三采"/>
    <s v="尋寶記24"/>
    <m/>
    <d v="2025-11-01T00:00:00"/>
    <n v="169.91428571428571"/>
    <s v="MOMO"/>
    <x v="0"/>
    <m/>
    <m/>
    <s v="雙11"/>
    <n v="169.91428571428571"/>
    <s v=""/>
    <n v="1"/>
  </r>
  <r>
    <s v="三采"/>
    <s v="尋寶記25"/>
    <m/>
    <d v="2025-11-01T00:00:00"/>
    <n v="169.91428571428571"/>
    <s v="MOMO"/>
    <x v="0"/>
    <m/>
    <m/>
    <s v="雙11"/>
    <n v="169.91428571428571"/>
    <s v=""/>
    <n v="1"/>
  </r>
  <r>
    <s v="三采"/>
    <s v="尋寶記26"/>
    <m/>
    <d v="2025-11-01T00:00:00"/>
    <n v="169.91428571428571"/>
    <s v="MOMO"/>
    <x v="0"/>
    <m/>
    <m/>
    <s v="雙11"/>
    <n v="169.91428571428571"/>
    <s v=""/>
    <n v="1"/>
  </r>
  <r>
    <s v="三采"/>
    <s v="尋寶記27"/>
    <m/>
    <d v="2025-11-01T00:00:00"/>
    <n v="169.91428571428571"/>
    <s v="MOMO"/>
    <x v="0"/>
    <m/>
    <m/>
    <s v="雙11"/>
    <n v="169.91428571428571"/>
    <s v=""/>
    <n v="1"/>
  </r>
  <r>
    <s v="三采"/>
    <s v="尋寶記28"/>
    <m/>
    <d v="2025-11-01T00:00:00"/>
    <n v="169.91428571428571"/>
    <s v="MOMO"/>
    <x v="0"/>
    <m/>
    <m/>
    <s v="雙11"/>
    <n v="169.91428571428571"/>
    <s v=""/>
    <n v="1"/>
  </r>
  <r>
    <s v="三采"/>
    <s v="尋寶記29"/>
    <m/>
    <d v="2025-11-01T00:00:00"/>
    <n v="169.91428571428571"/>
    <s v="MOMO"/>
    <x v="0"/>
    <m/>
    <m/>
    <s v="雙11"/>
    <n v="169.91428571428571"/>
    <s v=""/>
    <n v="1"/>
  </r>
  <r>
    <s v="三采"/>
    <s v="尋寶記30"/>
    <m/>
    <d v="2025-11-01T00:00:00"/>
    <n v="169.91428571428571"/>
    <s v="MOMO"/>
    <x v="0"/>
    <m/>
    <m/>
    <s v="雙11"/>
    <n v="169.91428571428571"/>
    <s v=""/>
    <n v="1"/>
  </r>
  <r>
    <s v="三采"/>
    <s v="尋寶記31"/>
    <m/>
    <d v="2025-11-01T00:00:00"/>
    <n v="169.91428571428571"/>
    <s v="MOMO"/>
    <x v="0"/>
    <m/>
    <m/>
    <s v="雙11"/>
    <n v="169.91428571428571"/>
    <s v=""/>
    <n v="1"/>
  </r>
  <r>
    <s v="三采"/>
    <s v="尋寶記32"/>
    <m/>
    <d v="2025-11-01T00:00:00"/>
    <n v="169.91428571428571"/>
    <s v="MOMO"/>
    <x v="0"/>
    <m/>
    <m/>
    <s v="雙11"/>
    <n v="169.91428571428571"/>
    <s v=""/>
    <n v="1"/>
  </r>
  <r>
    <s v="三采"/>
    <s v="尋寶記33"/>
    <m/>
    <d v="2025-11-01T00:00:00"/>
    <n v="169.91428571428571"/>
    <s v="MOMO"/>
    <x v="0"/>
    <m/>
    <m/>
    <s v="雙11"/>
    <n v="169.91428571428571"/>
    <s v=""/>
    <n v="1"/>
  </r>
  <r>
    <s v="三采"/>
    <s v="尋寶記34"/>
    <m/>
    <d v="2025-11-01T00:00:00"/>
    <n v="169.91428571428571"/>
    <s v="MOMO"/>
    <x v="0"/>
    <m/>
    <m/>
    <s v="雙11"/>
    <n v="169.91428571428571"/>
    <s v=""/>
    <n v="1"/>
  </r>
  <r>
    <s v="三采"/>
    <s v="尋寶記35"/>
    <m/>
    <d v="2025-11-01T00:00:00"/>
    <n v="169.91428571428571"/>
    <s v="MOMO"/>
    <x v="0"/>
    <m/>
    <m/>
    <s v="雙11"/>
    <n v="169.91428571428571"/>
    <s v=""/>
    <n v="1"/>
  </r>
  <r>
    <s v="三采"/>
    <s v="科學實驗王1-酸鹼中和"/>
    <s v="V"/>
    <d v="2025-11-01T00:00:00"/>
    <n v="165.2"/>
    <s v="MOMO"/>
    <x v="0"/>
    <m/>
    <d v="2025-11-20T00:00:00"/>
    <s v="雙11"/>
    <n v="165.2"/>
    <n v="1"/>
    <n v="1"/>
  </r>
  <r>
    <s v="三采"/>
    <s v="科學實驗王2-牛頓運動定律"/>
    <s v="V"/>
    <d v="2025-11-01T00:00:00"/>
    <n v="165.2"/>
    <s v="MOMO"/>
    <x v="0"/>
    <m/>
    <d v="2025-11-22T00:00:00"/>
    <s v="雙11"/>
    <n v="165.2"/>
    <n v="1"/>
    <n v="1"/>
  </r>
  <r>
    <s v="三采"/>
    <s v="科學實驗王3-光的折射與反射"/>
    <s v="V"/>
    <d v="2025-11-01T00:00:00"/>
    <n v="165.2"/>
    <s v="MOMO"/>
    <x v="0"/>
    <m/>
    <d v="2025-11-23T00:00:00"/>
    <s v="雙11"/>
    <n v="165.2"/>
    <n v="1"/>
    <n v="1"/>
  </r>
  <r>
    <s v="三采"/>
    <s v="科學實驗王4-光合作用與呼吸作用"/>
    <s v="V"/>
    <d v="2025-11-01T00:00:00"/>
    <n v="165.2"/>
    <s v="MOMO"/>
    <x v="0"/>
    <m/>
    <d v="2025-11-25T00:00:00"/>
    <s v="雙11"/>
    <n v="165.2"/>
    <n v="1"/>
    <n v="1"/>
  </r>
  <r>
    <s v="三采"/>
    <s v="科學實驗王5-電流與磁力"/>
    <s v="V"/>
    <d v="2025-11-01T00:00:00"/>
    <n v="165.2"/>
    <s v="MOMO"/>
    <x v="0"/>
    <m/>
    <d v="2025-11-26T00:00:00"/>
    <s v="雙11"/>
    <n v="165.2"/>
    <n v="1"/>
    <n v="1"/>
  </r>
  <r>
    <s v="三采"/>
    <s v="科學實驗王6-環境與污染"/>
    <s v="V"/>
    <d v="2025-11-01T00:00:00"/>
    <n v="165.2"/>
    <s v="MOMO"/>
    <x v="0"/>
    <m/>
    <d v="2025-11-28T00:00:00"/>
    <s v="雙11"/>
    <n v="165.2"/>
    <n v="1"/>
    <n v="1"/>
  </r>
  <r>
    <s v="三采"/>
    <s v="科學實驗王7-人體的奧秘"/>
    <s v="V"/>
    <d v="2025-11-01T00:00:00"/>
    <n v="165.2"/>
    <s v="MOMO"/>
    <x v="0"/>
    <m/>
    <d v="2025-11-29T00:00:00"/>
    <s v="雙11"/>
    <n v="165.2"/>
    <n v="1"/>
    <n v="1"/>
  </r>
  <r>
    <s v="三采"/>
    <s v="科學實驗王8-基因與遺傳"/>
    <s v="V"/>
    <d v="2025-11-01T00:00:00"/>
    <n v="165.2"/>
    <s v="MOMO"/>
    <x v="0"/>
    <m/>
    <d v="2026-04-04T00:00:00"/>
    <s v="雙11"/>
    <n v="165.2"/>
    <n v="1"/>
    <n v="1"/>
  </r>
  <r>
    <s v="三采"/>
    <s v="科學實驗王9"/>
    <m/>
    <d v="2025-11-01T00:00:00"/>
    <n v="165.2"/>
    <s v="MOMO"/>
    <x v="0"/>
    <m/>
    <m/>
    <s v="雙11"/>
    <n v="165.2"/>
    <s v=""/>
    <n v="1"/>
  </r>
  <r>
    <s v="三采"/>
    <s v="科學實驗王10"/>
    <m/>
    <d v="2025-11-01T00:00:00"/>
    <n v="165.2"/>
    <s v="MOMO"/>
    <x v="0"/>
    <m/>
    <m/>
    <s v="雙11"/>
    <n v="165.2"/>
    <s v=""/>
    <n v="1"/>
  </r>
  <r>
    <s v="三采"/>
    <s v="科學實驗王11"/>
    <m/>
    <d v="2025-11-01T00:00:00"/>
    <n v="165.2"/>
    <s v="MOMO"/>
    <x v="0"/>
    <m/>
    <m/>
    <s v="雙11"/>
    <n v="165.2"/>
    <s v=""/>
    <n v="1"/>
  </r>
  <r>
    <s v="三采"/>
    <s v="科學實驗王12"/>
    <m/>
    <d v="2025-11-01T00:00:00"/>
    <n v="165.2"/>
    <s v="MOMO"/>
    <x v="0"/>
    <m/>
    <m/>
    <s v="雙11"/>
    <n v="165.2"/>
    <s v=""/>
    <n v="1"/>
  </r>
  <r>
    <s v="三采"/>
    <s v="科學實驗王13"/>
    <m/>
    <d v="2025-11-01T00:00:00"/>
    <n v="165.2"/>
    <s v="MOMO"/>
    <x v="0"/>
    <m/>
    <m/>
    <s v="雙11"/>
    <n v="165.2"/>
    <s v=""/>
    <n v="1"/>
  </r>
  <r>
    <s v="三采"/>
    <s v="科學實驗王14"/>
    <m/>
    <d v="2025-11-01T00:00:00"/>
    <n v="165.2"/>
    <s v="MOMO"/>
    <x v="0"/>
    <m/>
    <m/>
    <s v="雙11"/>
    <n v="165.2"/>
    <s v=""/>
    <n v="1"/>
  </r>
  <r>
    <s v="三采"/>
    <s v="科學實驗王15"/>
    <m/>
    <d v="2025-11-01T00:00:00"/>
    <n v="165.2"/>
    <s v="MOMO"/>
    <x v="0"/>
    <m/>
    <m/>
    <s v="雙11"/>
    <n v="165.2"/>
    <s v=""/>
    <n v="1"/>
  </r>
  <r>
    <s v="三采"/>
    <s v="科學實驗王16"/>
    <m/>
    <d v="2025-11-01T00:00:00"/>
    <n v="165.2"/>
    <s v="MOMO"/>
    <x v="0"/>
    <m/>
    <m/>
    <s v="雙11"/>
    <n v="165.2"/>
    <s v=""/>
    <n v="1"/>
  </r>
  <r>
    <s v="三采"/>
    <s v="科學實驗王17"/>
    <m/>
    <d v="2025-11-01T00:00:00"/>
    <n v="165.2"/>
    <s v="MOMO"/>
    <x v="0"/>
    <m/>
    <m/>
    <s v="雙11"/>
    <n v="165.2"/>
    <s v=""/>
    <n v="1"/>
  </r>
  <r>
    <s v="三采"/>
    <s v="科學實驗王18"/>
    <m/>
    <d v="2025-11-01T00:00:00"/>
    <n v="165.2"/>
    <s v="MOMO"/>
    <x v="0"/>
    <m/>
    <m/>
    <s v="雙11"/>
    <n v="165.2"/>
    <s v=""/>
    <n v="1"/>
  </r>
  <r>
    <s v="三采"/>
    <s v="科學實驗王19"/>
    <m/>
    <d v="2025-11-01T00:00:00"/>
    <n v="165.2"/>
    <s v="MOMO"/>
    <x v="0"/>
    <m/>
    <m/>
    <s v="雙11"/>
    <n v="165.2"/>
    <s v=""/>
    <n v="1"/>
  </r>
  <r>
    <s v="三采"/>
    <s v="科學實驗王20"/>
    <m/>
    <d v="2025-11-01T00:00:00"/>
    <n v="165.2"/>
    <s v="MOMO"/>
    <x v="0"/>
    <m/>
    <m/>
    <s v="雙11"/>
    <n v="165.2"/>
    <s v=""/>
    <n v="1"/>
  </r>
  <r>
    <s v="三采"/>
    <s v="希臘羅馬神話1"/>
    <m/>
    <d v="2025-11-01T00:00:00"/>
    <n v="188.8"/>
    <s v="MOMO"/>
    <x v="0"/>
    <m/>
    <m/>
    <s v="雙11"/>
    <n v="188.8"/>
    <s v=""/>
    <n v="1"/>
  </r>
  <r>
    <s v="三采"/>
    <s v="希臘羅馬神話2"/>
    <m/>
    <d v="2025-11-01T00:00:00"/>
    <n v="188.8"/>
    <s v="MOMO"/>
    <x v="0"/>
    <m/>
    <m/>
    <s v="雙11"/>
    <n v="188.8"/>
    <s v=""/>
    <n v="1"/>
  </r>
  <r>
    <s v="三采"/>
    <s v="希臘羅馬神話3"/>
    <m/>
    <d v="2025-11-01T00:00:00"/>
    <n v="188.8"/>
    <s v="MOMO"/>
    <x v="0"/>
    <m/>
    <m/>
    <s v="雙11"/>
    <n v="188.8"/>
    <s v=""/>
    <n v="1"/>
  </r>
  <r>
    <s v="三采"/>
    <s v="希臘羅馬神話4"/>
    <m/>
    <d v="2025-11-01T00:00:00"/>
    <n v="188.8"/>
    <s v="MOMO"/>
    <x v="0"/>
    <m/>
    <m/>
    <s v="雙11"/>
    <n v="188.8"/>
    <s v=""/>
    <n v="1"/>
  </r>
  <r>
    <s v="三采"/>
    <s v="希臘羅馬神話5"/>
    <m/>
    <d v="2025-11-01T00:00:00"/>
    <n v="188.8"/>
    <s v="MOMO"/>
    <x v="0"/>
    <m/>
    <m/>
    <s v="雙11"/>
    <n v="188.8"/>
    <s v=""/>
    <n v="1"/>
  </r>
  <r>
    <s v="三采"/>
    <s v="希臘羅馬神話6"/>
    <m/>
    <d v="2025-11-01T00:00:00"/>
    <n v="188.8"/>
    <s v="MOMO"/>
    <x v="0"/>
    <m/>
    <m/>
    <s v="雙11"/>
    <n v="188.8"/>
    <s v=""/>
    <n v="1"/>
  </r>
  <r>
    <s v="三采"/>
    <s v="希臘羅馬神話7"/>
    <m/>
    <d v="2025-11-01T00:00:00"/>
    <n v="188.8"/>
    <s v="MOMO"/>
    <x v="0"/>
    <m/>
    <m/>
    <s v="雙11"/>
    <n v="188.8"/>
    <s v=""/>
    <n v="1"/>
  </r>
  <r>
    <s v="三采"/>
    <s v="希臘羅馬神話8"/>
    <m/>
    <d v="2025-11-01T00:00:00"/>
    <n v="188.8"/>
    <s v="MOMO"/>
    <x v="0"/>
    <m/>
    <m/>
    <s v="雙11"/>
    <n v="188.8"/>
    <s v=""/>
    <n v="1"/>
  </r>
  <r>
    <s v="三采"/>
    <s v="希臘羅馬神話9"/>
    <m/>
    <d v="2025-11-01T00:00:00"/>
    <n v="188.8"/>
    <s v="MOMO"/>
    <x v="0"/>
    <m/>
    <m/>
    <s v="雙11"/>
    <n v="188.8"/>
    <s v=""/>
    <n v="1"/>
  </r>
  <r>
    <s v="三采"/>
    <s v="希臘羅馬神話10"/>
    <m/>
    <d v="2025-11-01T00:00:00"/>
    <n v="188.8"/>
    <s v="MOMO"/>
    <x v="0"/>
    <m/>
    <m/>
    <s v="雙11"/>
    <n v="188.8"/>
    <s v=""/>
    <n v="1"/>
  </r>
  <r>
    <s v="三采"/>
    <s v="大英百科-科技6-人工智慧"/>
    <s v="V"/>
    <d v="2025-06-10T00:00:00"/>
    <n v="297"/>
    <s v="MOMO"/>
    <x v="0"/>
    <m/>
    <d v="2026-03-14T00:00:00"/>
    <m/>
    <n v="297"/>
    <n v="1"/>
    <n v="1"/>
  </r>
  <r>
    <s v="三采"/>
    <s v="大英百科-科技7-巨量資料"/>
    <m/>
    <d v="2025-06-10T00:00:00"/>
    <n v="297"/>
    <s v="MOMO"/>
    <x v="0"/>
    <m/>
    <m/>
    <m/>
    <n v="297"/>
    <s v=""/>
    <n v="1"/>
  </r>
  <r>
    <s v="三采"/>
    <s v="大英百科-科技8-生物科技"/>
    <m/>
    <d v="2025-06-10T00:00:00"/>
    <n v="297"/>
    <s v="MOMO"/>
    <x v="0"/>
    <m/>
    <m/>
    <m/>
    <n v="297"/>
    <s v=""/>
    <n v="1"/>
  </r>
  <r>
    <s v="三采"/>
    <s v="大英百科-科技9-自駕車"/>
    <m/>
    <d v="2025-06-10T00:00:00"/>
    <n v="297"/>
    <s v="MOMO"/>
    <x v="0"/>
    <m/>
    <m/>
    <m/>
    <n v="297"/>
    <s v=""/>
    <n v="1"/>
  </r>
  <r>
    <s v="三采"/>
    <s v="大英百科-科技10-NASA與航太科技"/>
    <m/>
    <d v="2025-06-10T00:00:00"/>
    <n v="297"/>
    <s v="MOMO"/>
    <x v="0"/>
    <m/>
    <m/>
    <m/>
    <n v="297"/>
    <s v=""/>
    <n v="1"/>
  </r>
  <r>
    <s v="三采"/>
    <s v="大英百科-生物地科1-昆蟲與蜘蛛"/>
    <m/>
    <d v="2026-03-07T00:00:00"/>
    <n v="247.8"/>
    <s v="MOMO"/>
    <x v="0"/>
    <m/>
    <m/>
    <m/>
    <n v="247.8"/>
    <s v=""/>
    <n v="1"/>
  </r>
  <r>
    <s v="三采"/>
    <s v="大英百科-生物地科2-地球"/>
    <m/>
    <d v="2026-03-07T00:00:00"/>
    <n v="247.8"/>
    <s v="MOMO"/>
    <x v="0"/>
    <m/>
    <m/>
    <m/>
    <n v="247.8"/>
    <s v=""/>
    <n v="1"/>
  </r>
  <r>
    <s v="三采"/>
    <s v="大英百科-生物地科3-微生物"/>
    <m/>
    <d v="2026-03-07T00:00:00"/>
    <n v="247.8"/>
    <s v="MOMO"/>
    <x v="0"/>
    <m/>
    <m/>
    <m/>
    <n v="247.8"/>
    <s v=""/>
    <n v="1"/>
  </r>
  <r>
    <s v="三采"/>
    <s v="大英百科-生物地科4-兩棲類與爬蟲類"/>
    <m/>
    <d v="2026-03-07T00:00:00"/>
    <n v="247.8"/>
    <s v="MOMO"/>
    <x v="0"/>
    <m/>
    <m/>
    <m/>
    <n v="247.8"/>
    <s v=""/>
    <n v="1"/>
  </r>
  <r>
    <s v="三采"/>
    <s v="大英百科-生物地科5-潮間帶"/>
    <m/>
    <d v="2026-03-07T00:00:00"/>
    <n v="247.8"/>
    <s v="MOMO"/>
    <x v="0"/>
    <m/>
    <m/>
    <m/>
    <n v="247.8"/>
    <s v=""/>
    <n v="1"/>
  </r>
  <r>
    <s v="三采"/>
    <s v="大英百科-生物地科6-天氣"/>
    <m/>
    <d v="2026-03-07T00:00:00"/>
    <n v="247.8"/>
    <s v="MOMO"/>
    <x v="0"/>
    <m/>
    <m/>
    <m/>
    <n v="247.8"/>
    <s v=""/>
    <n v="1"/>
  </r>
  <r>
    <s v="三采"/>
    <s v="大英百科-生物地科7-龐物家禽家畜"/>
    <m/>
    <d v="2026-03-07T00:00:00"/>
    <n v="247.8"/>
    <s v="MOMO"/>
    <x v="0"/>
    <m/>
    <m/>
    <m/>
    <n v="247.8"/>
    <s v=""/>
    <n v="1"/>
  </r>
  <r>
    <s v="三采"/>
    <s v="大英百科-生物地科8-恐龍"/>
    <m/>
    <d v="2026-03-07T00:00:00"/>
    <n v="247.8"/>
    <s v="MOMO"/>
    <x v="0"/>
    <m/>
    <m/>
    <m/>
    <n v="247.8"/>
    <s v=""/>
    <n v="1"/>
  </r>
  <r>
    <s v="三采"/>
    <s v="大英百科-生物地科9-環境"/>
    <m/>
    <d v="2026-03-07T00:00:00"/>
    <n v="247.8"/>
    <s v="MOMO"/>
    <x v="0"/>
    <m/>
    <m/>
    <m/>
    <n v="247.8"/>
    <s v=""/>
    <n v="1"/>
  </r>
  <r>
    <s v="三采"/>
    <s v="大英百科-生物地科10-北極與南極"/>
    <m/>
    <d v="2026-03-07T00:00:00"/>
    <n v="247.8"/>
    <s v="MOMO"/>
    <x v="0"/>
    <m/>
    <m/>
    <m/>
    <n v="247.8"/>
    <s v=""/>
    <n v="1"/>
  </r>
  <r>
    <s v="三采"/>
    <s v="大英百科-物理化學1-宇宙"/>
    <m/>
    <d v="2026-03-07T00:00:00"/>
    <n v="247.8"/>
    <s v="MOMO"/>
    <x v="0"/>
    <m/>
    <m/>
    <m/>
    <n v="247.8"/>
    <s v=""/>
    <n v="1"/>
  </r>
  <r>
    <s v="三采"/>
    <s v="大英百科-物理化學2-光與聲音"/>
    <m/>
    <d v="2026-03-07T00:00:00"/>
    <n v="247.8"/>
    <s v="MOMO"/>
    <x v="0"/>
    <m/>
    <m/>
    <m/>
    <n v="247.8"/>
    <s v=""/>
    <n v="1"/>
  </r>
  <r>
    <s v="三采"/>
    <s v="大英百科-物理化學3-物質的特性"/>
    <m/>
    <d v="2026-03-07T00:00:00"/>
    <n v="247.8"/>
    <s v="MOMO"/>
    <x v="0"/>
    <m/>
    <m/>
    <m/>
    <n v="247.8"/>
    <s v=""/>
    <n v="1"/>
  </r>
  <r>
    <s v="三采"/>
    <s v="大英百科-物理化學4-力與能量"/>
    <m/>
    <d v="2026-03-07T00:00:00"/>
    <n v="247.8"/>
    <s v="MOMO"/>
    <x v="0"/>
    <m/>
    <m/>
    <m/>
    <n v="247.8"/>
    <s v=""/>
    <n v="1"/>
  </r>
  <r>
    <s v="三采"/>
    <s v="大英百科-物理化學5-水"/>
    <m/>
    <d v="2026-03-07T00:00:00"/>
    <n v="247.8"/>
    <s v="MOMO"/>
    <x v="0"/>
    <m/>
    <m/>
    <m/>
    <n v="247.8"/>
    <s v=""/>
    <n v="1"/>
  </r>
  <r>
    <s v="三采"/>
    <s v="小妖怪1"/>
    <s v="V"/>
    <d v="2024-09-11T00:00:00"/>
    <n v="179"/>
    <s v="其他"/>
    <x v="20"/>
    <m/>
    <m/>
    <m/>
    <n v="18"/>
    <n v="1"/>
    <n v="1"/>
  </r>
  <r>
    <s v="三采"/>
    <s v="小妖怪2"/>
    <s v="V"/>
    <d v="2024-09-11T00:00:00"/>
    <n v="179"/>
    <s v="其他"/>
    <x v="20"/>
    <m/>
    <m/>
    <m/>
    <n v="18"/>
    <n v="1"/>
    <n v="1"/>
  </r>
  <r>
    <s v="三采"/>
    <s v="小妖怪3"/>
    <s v="V"/>
    <d v="2024-09-11T00:00:00"/>
    <n v="179"/>
    <s v="其他"/>
    <x v="20"/>
    <m/>
    <m/>
    <m/>
    <n v="18"/>
    <n v="1"/>
    <n v="1"/>
  </r>
  <r>
    <s v="三采"/>
    <s v="小妖怪4"/>
    <s v="V"/>
    <d v="2024-09-11T00:00:00"/>
    <n v="179"/>
    <s v="其他"/>
    <x v="20"/>
    <m/>
    <m/>
    <m/>
    <n v="18"/>
    <n v="1"/>
    <n v="1"/>
  </r>
  <r>
    <s v="三采"/>
    <s v="小妖怪5"/>
    <s v="V"/>
    <d v="2024-09-11T00:00:00"/>
    <n v="179"/>
    <s v="其他"/>
    <x v="20"/>
    <m/>
    <m/>
    <m/>
    <n v="18"/>
    <n v="1"/>
    <n v="1"/>
  </r>
  <r>
    <s v="三采"/>
    <s v="小妖怪6"/>
    <s v="V"/>
    <d v="2024-09-11T00:00:00"/>
    <n v="179"/>
    <s v="其他"/>
    <x v="20"/>
    <m/>
    <m/>
    <m/>
    <n v="18"/>
    <n v="1"/>
    <n v="1"/>
  </r>
  <r>
    <s v="三采"/>
    <s v="小妖怪7"/>
    <s v="V"/>
    <d v="2024-09-11T00:00:00"/>
    <n v="179"/>
    <s v="其他"/>
    <x v="20"/>
    <m/>
    <m/>
    <m/>
    <n v="18"/>
    <n v="1"/>
    <n v="1"/>
  </r>
  <r>
    <s v="三采"/>
    <s v="小妖怪8"/>
    <s v="V"/>
    <d v="2024-09-11T00:00:00"/>
    <n v="179"/>
    <s v="其他"/>
    <x v="20"/>
    <m/>
    <m/>
    <m/>
    <n v="18"/>
    <n v="1"/>
    <n v="1"/>
  </r>
  <r>
    <s v="三采"/>
    <s v="小妖怪9"/>
    <s v="V"/>
    <d v="2024-09-11T00:00:00"/>
    <n v="179"/>
    <s v="其他"/>
    <x v="20"/>
    <m/>
    <m/>
    <m/>
    <n v="18"/>
    <n v="1"/>
    <n v="1"/>
  </r>
  <r>
    <s v="三采"/>
    <s v="小妖怪10"/>
    <s v="V"/>
    <d v="2024-09-11T00:00:00"/>
    <n v="179"/>
    <s v="其他"/>
    <x v="20"/>
    <m/>
    <m/>
    <m/>
    <n v="18"/>
    <n v="1"/>
    <n v="1"/>
  </r>
  <r>
    <s v="三采"/>
    <s v="小妖怪11"/>
    <s v="V"/>
    <d v="2024-10-20T00:00:00"/>
    <n v="219"/>
    <s v="MOMO"/>
    <x v="21"/>
    <m/>
    <m/>
    <s v="有點數每本折10元，未扣"/>
    <n v="48"/>
    <n v="1"/>
    <n v="1"/>
  </r>
  <r>
    <s v="三采"/>
    <s v="小妖怪12"/>
    <s v="V"/>
    <d v="2024-10-20T00:00:00"/>
    <n v="219"/>
    <s v="MOMO"/>
    <x v="21"/>
    <m/>
    <m/>
    <s v="有點數每本折10元，未扣"/>
    <n v="48"/>
    <n v="1"/>
    <n v="1"/>
  </r>
  <r>
    <s v="三采"/>
    <s v="小妖怪13"/>
    <s v="V"/>
    <d v="2024-10-20T00:00:00"/>
    <n v="219"/>
    <s v="MOMO"/>
    <x v="21"/>
    <m/>
    <m/>
    <s v="有點數每本折10元，未扣"/>
    <n v="48"/>
    <n v="1"/>
    <n v="1"/>
  </r>
  <r>
    <s v="三采"/>
    <s v="小妖怪14"/>
    <s v="V"/>
    <d v="2024-10-20T00:00:00"/>
    <n v="219"/>
    <s v="MOMO"/>
    <x v="21"/>
    <m/>
    <m/>
    <s v="有點數每本折10元，未扣"/>
    <n v="48"/>
    <n v="1"/>
    <n v="1"/>
  </r>
  <r>
    <s v="三采"/>
    <s v="小妖怪15"/>
    <s v="V"/>
    <d v="2024-10-20T00:00:00"/>
    <n v="219"/>
    <s v="MOMO"/>
    <x v="21"/>
    <m/>
    <m/>
    <s v="有點數每本折10元，未扣"/>
    <n v="48"/>
    <n v="1"/>
    <n v="1"/>
  </r>
  <r>
    <s v="三采"/>
    <s v="小妖怪16"/>
    <s v="V"/>
    <d v="2024-10-20T00:00:00"/>
    <n v="219"/>
    <s v="MOMO"/>
    <x v="21"/>
    <m/>
    <m/>
    <s v="有點數每本折10元，未扣"/>
    <n v="48"/>
    <n v="1"/>
    <n v="1"/>
  </r>
  <r>
    <s v="三采"/>
    <s v="小妖怪17"/>
    <s v="V"/>
    <d v="2024-10-20T00:00:00"/>
    <n v="219"/>
    <s v="MOMO"/>
    <x v="21"/>
    <m/>
    <m/>
    <s v="有點數每本折10元，未扣"/>
    <n v="48"/>
    <n v="1"/>
    <n v="1"/>
  </r>
  <r>
    <s v="三采"/>
    <s v="小妖怪18"/>
    <s v="V"/>
    <d v="2024-10-20T00:00:00"/>
    <n v="219"/>
    <s v="MOMO"/>
    <x v="21"/>
    <m/>
    <m/>
    <s v="有點數每本折10元，未扣"/>
    <n v="48"/>
    <n v="1"/>
    <n v="1"/>
  </r>
  <r>
    <s v="三采"/>
    <s v="小妖怪19"/>
    <s v="V"/>
    <d v="2024-10-20T00:00:00"/>
    <n v="219"/>
    <s v="MOMO"/>
    <x v="21"/>
    <m/>
    <m/>
    <s v="有點數每本折10元，未扣"/>
    <n v="48"/>
    <n v="1"/>
    <n v="1"/>
  </r>
  <r>
    <s v="三采"/>
    <s v="小妖怪20"/>
    <s v="V"/>
    <d v="2024-10-20T00:00:00"/>
    <n v="219"/>
    <s v="MOMO"/>
    <x v="21"/>
    <m/>
    <m/>
    <s v="有點數每本折10元，未扣"/>
    <n v="48"/>
    <n v="1"/>
    <n v="1"/>
  </r>
  <r>
    <s v="三采"/>
    <s v="小妖怪21"/>
    <s v="V"/>
    <d v="2024-10-31T00:00:00"/>
    <n v="177"/>
    <s v="FB"/>
    <x v="21"/>
    <m/>
    <m/>
    <m/>
    <n v="6"/>
    <n v="1"/>
    <n v="1"/>
  </r>
  <r>
    <s v="三采"/>
    <s v="小妖怪22"/>
    <s v="V"/>
    <d v="2024-10-31T00:00:00"/>
    <n v="177"/>
    <s v="FB"/>
    <x v="21"/>
    <m/>
    <m/>
    <m/>
    <n v="6"/>
    <n v="1"/>
    <n v="1"/>
  </r>
  <r>
    <s v="三采"/>
    <s v="小妖怪23"/>
    <s v="V"/>
    <d v="2024-10-31T00:00:00"/>
    <n v="177"/>
    <s v="FB"/>
    <x v="21"/>
    <m/>
    <m/>
    <m/>
    <n v="6"/>
    <n v="1"/>
    <n v="1"/>
  </r>
  <r>
    <s v="三采"/>
    <s v="小妖怪24"/>
    <s v="V"/>
    <d v="2024-10-31T00:00:00"/>
    <n v="177"/>
    <s v="FB"/>
    <x v="21"/>
    <m/>
    <m/>
    <m/>
    <n v="6"/>
    <n v="1"/>
    <n v="1"/>
  </r>
  <r>
    <s v="三采"/>
    <s v="小妖怪25"/>
    <s v="V"/>
    <d v="2024-10-31T00:00:00"/>
    <n v="177"/>
    <s v="FB"/>
    <x v="21"/>
    <m/>
    <m/>
    <m/>
    <n v="6"/>
    <n v="1"/>
    <n v="1"/>
  </r>
  <r>
    <s v="三采"/>
    <s v="小妖怪26"/>
    <s v="V"/>
    <d v="2024-10-31T00:00:00"/>
    <n v="177"/>
    <s v="FB"/>
    <x v="21"/>
    <m/>
    <m/>
    <m/>
    <n v="6"/>
    <n v="1"/>
    <n v="1"/>
  </r>
  <r>
    <s v="三采"/>
    <s v="小妖怪27"/>
    <s v="V"/>
    <d v="2024-10-31T00:00:00"/>
    <n v="177"/>
    <s v="FB"/>
    <x v="21"/>
    <m/>
    <m/>
    <m/>
    <n v="6"/>
    <n v="1"/>
    <n v="1"/>
  </r>
  <r>
    <s v="三采"/>
    <s v="小妖怪28"/>
    <s v="V"/>
    <d v="2024-10-31T00:00:00"/>
    <n v="177"/>
    <s v="FB"/>
    <x v="21"/>
    <m/>
    <m/>
    <m/>
    <n v="6"/>
    <n v="1"/>
    <n v="1"/>
  </r>
  <r>
    <s v="三采"/>
    <s v="小妖怪29"/>
    <s v="V"/>
    <d v="2024-10-31T00:00:00"/>
    <n v="177"/>
    <s v="FB"/>
    <x v="21"/>
    <m/>
    <m/>
    <m/>
    <n v="6"/>
    <n v="1"/>
    <n v="1"/>
  </r>
  <r>
    <s v="三采"/>
    <s v="小妖怪30"/>
    <s v="V"/>
    <d v="2024-10-31T00:00:00"/>
    <n v="177"/>
    <s v="FB"/>
    <x v="21"/>
    <m/>
    <m/>
    <m/>
    <n v="6"/>
    <n v="1"/>
    <n v="1"/>
  </r>
  <r>
    <s v="三采"/>
    <s v="褲子小偷1"/>
    <s v="V"/>
    <d v="2024-09-12T00:00:00"/>
    <n v="247"/>
    <s v="其他"/>
    <x v="0"/>
    <m/>
    <d v="2026-04-06T00:00:00"/>
    <m/>
    <n v="247"/>
    <n v="1"/>
    <n v="1"/>
  </r>
  <r>
    <s v="三采"/>
    <s v="褲子小偷2"/>
    <s v="V"/>
    <d v="2024-09-12T00:00:00"/>
    <n v="247"/>
    <s v="其他"/>
    <x v="0"/>
    <m/>
    <d v="2026-04-06T00:00:00"/>
    <m/>
    <n v="247"/>
    <n v="1"/>
    <n v="1"/>
  </r>
  <r>
    <s v="三采"/>
    <s v="天才麵包理髮師1"/>
    <s v="V"/>
    <d v="2024-09-11T00:00:00"/>
    <n v="221"/>
    <s v="團書"/>
    <x v="22"/>
    <d v="2026-02-24T00:00:00"/>
    <d v="2026-02-07T00:00:00"/>
    <s v="二刷、三刷"/>
    <n v="-21.199999999999989"/>
    <n v="1"/>
    <n v="1"/>
  </r>
  <r>
    <s v="三采"/>
    <s v="天才麵包理髮師2"/>
    <s v="V"/>
    <d v="2024-09-11T00:00:00"/>
    <n v="221"/>
    <s v="團書"/>
    <x v="22"/>
    <d v="2026-02-24T00:00:00"/>
    <m/>
    <m/>
    <n v="-21.199999999999989"/>
    <n v="1"/>
    <n v="1"/>
  </r>
  <r>
    <s v="三采"/>
    <s v="天才麵包理髮師3"/>
    <s v="V"/>
    <d v="2024-09-11T00:00:00"/>
    <n v="221"/>
    <s v="團書"/>
    <x v="22"/>
    <d v="2026-02-24T00:00:00"/>
    <m/>
    <m/>
    <n v="-21.199999999999989"/>
    <n v="1"/>
    <n v="1"/>
  </r>
  <r>
    <s v="三采"/>
    <s v="天才麵包理髮師4"/>
    <s v="V"/>
    <d v="2024-09-11T00:00:00"/>
    <n v="221"/>
    <s v="團書"/>
    <x v="22"/>
    <d v="2026-02-24T00:00:00"/>
    <m/>
    <m/>
    <n v="-21.199999999999989"/>
    <n v="1"/>
    <n v="1"/>
  </r>
  <r>
    <s v="三采"/>
    <s v="天才麵包理髮師5"/>
    <s v="V"/>
    <d v="2024-09-11T00:00:00"/>
    <n v="221"/>
    <s v="團書"/>
    <x v="22"/>
    <d v="2026-02-24T00:00:00"/>
    <m/>
    <m/>
    <n v="-21.199999999999989"/>
    <n v="1"/>
    <n v="1"/>
  </r>
  <r>
    <s v="三采"/>
    <s v="普通兄妹的秘密日記1"/>
    <s v="V"/>
    <d v="2024-09-11T00:00:00"/>
    <n v="241"/>
    <s v="團書"/>
    <x v="23"/>
    <m/>
    <m/>
    <m/>
    <n v="41"/>
    <n v="1"/>
    <n v="1"/>
  </r>
  <r>
    <s v="三采"/>
    <s v="普通兄妹的秘密日記2"/>
    <s v="V"/>
    <d v="2024-09-11T00:00:00"/>
    <n v="241"/>
    <s v="團書"/>
    <x v="23"/>
    <m/>
    <m/>
    <m/>
    <n v="41"/>
    <n v="1"/>
    <n v="1"/>
  </r>
  <r>
    <s v="三采"/>
    <s v="普通兄妹的秘密日記3"/>
    <s v="V"/>
    <d v="2024-09-11T00:00:00"/>
    <n v="241"/>
    <s v="團書"/>
    <x v="23"/>
    <m/>
    <m/>
    <m/>
    <n v="41"/>
    <n v="1"/>
    <n v="1"/>
  </r>
  <r>
    <s v="三采"/>
    <s v="普通兄妹的密室逃脫任務1"/>
    <s v="V"/>
    <d v="2024-09-11T00:00:00"/>
    <n v="241"/>
    <s v="團書"/>
    <x v="24"/>
    <d v="2026-01-14T00:00:00"/>
    <m/>
    <m/>
    <n v="10"/>
    <n v="1"/>
    <n v="1"/>
  </r>
  <r>
    <s v="三采"/>
    <s v="普通兄妹的密室逃脫任務2"/>
    <s v="V"/>
    <d v="2024-09-11T00:00:00"/>
    <n v="241"/>
    <s v="團書"/>
    <x v="24"/>
    <d v="2026-01-14T00:00:00"/>
    <m/>
    <m/>
    <n v="10"/>
    <n v="1"/>
    <n v="1"/>
  </r>
  <r>
    <s v="三采"/>
    <s v="天才圍棋王1"/>
    <s v="V"/>
    <d v="2024-09-11T00:00:00"/>
    <n v="262"/>
    <s v="團書"/>
    <x v="0"/>
    <m/>
    <d v="2025-10-10T00:00:00"/>
    <m/>
    <n v="262"/>
    <n v="1"/>
    <n v="1"/>
  </r>
  <r>
    <s v="遠流"/>
    <s v="天生就是超級咖-我很奇怪但很可愛2"/>
    <s v="V"/>
    <d v="2025-05-28T00:00:00"/>
    <n v="271"/>
    <s v="團書"/>
    <x v="0"/>
    <m/>
    <d v="2026-02-01T00:00:00"/>
    <m/>
    <n v="271"/>
    <n v="1"/>
    <n v="1"/>
  </r>
  <r>
    <s v="遠流"/>
    <s v="好聰明漫畫醫學：生病了該怎麼辦？"/>
    <m/>
    <d v="2025-05-28T00:00:00"/>
    <n v="197"/>
    <s v="團書"/>
    <x v="0"/>
    <m/>
    <m/>
    <m/>
    <n v="197"/>
    <s v=""/>
    <n v="1"/>
  </r>
  <r>
    <s v="遠流"/>
    <s v="好聰明漫畫醫學：原來身體這樣運作"/>
    <m/>
    <d v="2025-05-28T00:00:00"/>
    <n v="200"/>
    <s v="團書"/>
    <x v="0"/>
    <m/>
    <m/>
    <m/>
    <n v="200"/>
    <s v=""/>
    <n v="1"/>
  </r>
  <r>
    <s v="遠流"/>
    <s v="漫書台灣故事1"/>
    <s v="V"/>
    <d v="2025-05-28T00:00:00"/>
    <n v="149.25"/>
    <s v="團書"/>
    <x v="0"/>
    <m/>
    <d v="2026-01-24T00:00:00"/>
    <s v="2刷"/>
    <n v="149.25"/>
    <n v="1"/>
    <n v="1"/>
  </r>
  <r>
    <s v="遠流"/>
    <s v="漫書台灣故事2"/>
    <s v="V"/>
    <d v="2025-05-28T00:00:00"/>
    <n v="149.25"/>
    <s v="團書"/>
    <x v="0"/>
    <m/>
    <m/>
    <m/>
    <n v="149.25"/>
    <n v="1"/>
    <n v="1"/>
  </r>
  <r>
    <s v="遠流"/>
    <s v="漫書台灣故事3"/>
    <m/>
    <d v="2025-05-28T00:00:00"/>
    <n v="149.25"/>
    <s v="團書"/>
    <x v="0"/>
    <m/>
    <m/>
    <m/>
    <n v="149.25"/>
    <s v=""/>
    <n v="1"/>
  </r>
  <r>
    <s v="遠流"/>
    <s v="漫書台灣故事4"/>
    <m/>
    <d v="2025-05-28T00:00:00"/>
    <n v="149.25"/>
    <s v="團書"/>
    <x v="0"/>
    <m/>
    <m/>
    <m/>
    <n v="149.25"/>
    <s v=""/>
    <n v="1"/>
  </r>
  <r>
    <s v="遠流"/>
    <s v="漫書台灣故事5"/>
    <m/>
    <d v="2025-05-28T00:00:00"/>
    <n v="149.25"/>
    <s v="團書"/>
    <x v="0"/>
    <m/>
    <m/>
    <m/>
    <n v="149.25"/>
    <s v=""/>
    <n v="1"/>
  </r>
  <r>
    <s v="遠流"/>
    <s v="漫書台灣故事6"/>
    <m/>
    <d v="2025-05-28T00:00:00"/>
    <n v="149.25"/>
    <s v="團書"/>
    <x v="0"/>
    <m/>
    <m/>
    <m/>
    <n v="149.25"/>
    <s v=""/>
    <n v="1"/>
  </r>
  <r>
    <s v="遠流"/>
    <s v="漫書台灣故事7"/>
    <m/>
    <d v="2025-05-28T00:00:00"/>
    <n v="149.25"/>
    <s v="團書"/>
    <x v="0"/>
    <m/>
    <m/>
    <m/>
    <n v="149.25"/>
    <s v=""/>
    <n v="1"/>
  </r>
  <r>
    <s v="遠流"/>
    <s v="漫書台灣故事8"/>
    <m/>
    <d v="2025-05-28T00:00:00"/>
    <n v="149.25"/>
    <s v="團書"/>
    <x v="0"/>
    <m/>
    <m/>
    <m/>
    <n v="149.25"/>
    <s v=""/>
    <n v="1"/>
  </r>
  <r>
    <s v="遠流"/>
    <s v="漫書台灣故事9"/>
    <m/>
    <d v="2025-05-28T00:00:00"/>
    <n v="149.25"/>
    <s v="團書"/>
    <x v="0"/>
    <m/>
    <m/>
    <m/>
    <n v="149.25"/>
    <s v=""/>
    <n v="1"/>
  </r>
  <r>
    <s v="遠流"/>
    <s v="漫書台灣故事10"/>
    <m/>
    <d v="2025-05-28T00:00:00"/>
    <n v="149.25"/>
    <s v="團書"/>
    <x v="0"/>
    <m/>
    <m/>
    <m/>
    <n v="149.25"/>
    <s v=""/>
    <n v="1"/>
  </r>
  <r>
    <s v="遠流"/>
    <s v="漫書台灣故事11"/>
    <m/>
    <d v="2025-05-28T00:00:00"/>
    <n v="149.25"/>
    <s v="團書"/>
    <x v="0"/>
    <m/>
    <m/>
    <m/>
    <n v="149.25"/>
    <s v=""/>
    <n v="1"/>
  </r>
  <r>
    <s v="遠流"/>
    <s v="漫書台灣故事12"/>
    <m/>
    <d v="2025-05-28T00:00:00"/>
    <n v="149.25"/>
    <s v="團書"/>
    <x v="0"/>
    <m/>
    <m/>
    <m/>
    <n v="149.25"/>
    <s v=""/>
    <n v="1"/>
  </r>
  <r>
    <s v="遠流"/>
    <s v="巴冷公主要嫁蛇王子(臺灣原生動物說故事1)"/>
    <m/>
    <d v="2025-05-28T00:00:00"/>
    <n v="218"/>
    <s v="團書"/>
    <x v="0"/>
    <m/>
    <m/>
    <m/>
    <n v="218"/>
    <s v=""/>
    <n v="1"/>
  </r>
  <r>
    <s v="遠流"/>
    <s v="魔法獠牙俠(臺灣原生動物說故事2)"/>
    <m/>
    <d v="2025-05-28T00:00:00"/>
    <n v="218"/>
    <s v="團書"/>
    <x v="0"/>
    <m/>
    <m/>
    <m/>
    <n v="218"/>
    <s v=""/>
    <n v="1"/>
  </r>
  <r>
    <s v="遠流"/>
    <s v="好好笑漫畫數學：買賣大作"/>
    <m/>
    <d v="2025-05-28T00:00:00"/>
    <n v="200"/>
    <s v="團書"/>
    <x v="0"/>
    <m/>
    <m/>
    <m/>
    <n v="200"/>
    <s v=""/>
    <n v="1"/>
  </r>
  <r>
    <s v="遠流"/>
    <s v="好好笑漫畫數學：生活數字王"/>
    <m/>
    <d v="2025-05-28T00:00:00"/>
    <n v="200"/>
    <s v="團書"/>
    <x v="0"/>
    <m/>
    <m/>
    <m/>
    <n v="200"/>
    <s v=""/>
    <n v="1"/>
  </r>
  <r>
    <s v="遠流"/>
    <s v="屁屁偵探1"/>
    <s v="V"/>
    <d v="2023-09-30T00:00:00"/>
    <n v="185.8"/>
    <s v="MOMO"/>
    <x v="25"/>
    <m/>
    <m/>
    <m/>
    <n v="39.300000000000011"/>
    <n v="1"/>
    <n v="1"/>
  </r>
  <r>
    <s v="遠流"/>
    <s v="屁屁偵探2"/>
    <s v="V"/>
    <d v="2023-09-30T00:00:00"/>
    <n v="185.8"/>
    <s v="MOMO"/>
    <x v="25"/>
    <m/>
    <m/>
    <m/>
    <n v="39.300000000000011"/>
    <n v="1"/>
    <n v="1"/>
  </r>
  <r>
    <s v="遠流"/>
    <s v="屁屁偵探3"/>
    <s v="V"/>
    <d v="2023-09-30T00:00:00"/>
    <n v="185.8"/>
    <s v="MOMO"/>
    <x v="25"/>
    <m/>
    <m/>
    <m/>
    <n v="39.300000000000011"/>
    <n v="1"/>
    <n v="1"/>
  </r>
  <r>
    <s v="遠流"/>
    <s v="屁屁偵探4"/>
    <s v="V"/>
    <d v="2023-09-30T00:00:00"/>
    <n v="185.8"/>
    <s v="MOMO"/>
    <x v="25"/>
    <m/>
    <m/>
    <m/>
    <n v="39.300000000000011"/>
    <n v="1"/>
    <n v="1"/>
  </r>
  <r>
    <s v="遠流"/>
    <s v="屁屁偵探5"/>
    <s v="V"/>
    <d v="2023-09-30T00:00:00"/>
    <n v="185.8"/>
    <s v="MOMO"/>
    <x v="25"/>
    <m/>
    <m/>
    <m/>
    <n v="39.300000000000011"/>
    <n v="1"/>
    <n v="1"/>
  </r>
  <r>
    <s v="遠流"/>
    <s v="屁屁偵探6"/>
    <s v="V"/>
    <d v="2023-09-30T00:00:00"/>
    <n v="185.8"/>
    <s v="MOMO"/>
    <x v="25"/>
    <m/>
    <m/>
    <m/>
    <n v="39.300000000000011"/>
    <n v="1"/>
    <n v="1"/>
  </r>
  <r>
    <s v="遠流"/>
    <s v="屁屁偵探7"/>
    <s v="V"/>
    <d v="2023-09-30T00:00:00"/>
    <n v="212.5"/>
    <s v="MOMO"/>
    <x v="25"/>
    <m/>
    <m/>
    <m/>
    <n v="66"/>
    <n v="1"/>
    <n v="1"/>
  </r>
  <r>
    <s v="遠流"/>
    <s v="屁屁偵探8"/>
    <s v="V"/>
    <d v="2023-09-30T00:00:00"/>
    <n v="212.5"/>
    <s v="MOMO"/>
    <x v="25"/>
    <m/>
    <m/>
    <m/>
    <n v="66"/>
    <n v="1"/>
    <n v="1"/>
  </r>
  <r>
    <s v="遠流"/>
    <s v="屁屁偵探9"/>
    <s v="V"/>
    <d v="2023-09-30T00:00:00"/>
    <n v="212.5"/>
    <s v="MOMO"/>
    <x v="25"/>
    <m/>
    <m/>
    <m/>
    <n v="66"/>
    <n v="1"/>
    <n v="1"/>
  </r>
  <r>
    <s v="遠流"/>
    <s v="屁屁偵探10"/>
    <s v="V"/>
    <d v="2023-09-30T00:00:00"/>
    <n v="212.5"/>
    <s v="MOMO"/>
    <x v="25"/>
    <m/>
    <m/>
    <m/>
    <n v="66"/>
    <n v="1"/>
    <n v="1"/>
  </r>
  <r>
    <s v="晴好"/>
    <s v="袖珍動物園1"/>
    <m/>
    <d v="2025-12-01T00:00:00"/>
    <n v="210.8"/>
    <s v="MOMO"/>
    <x v="0"/>
    <m/>
    <m/>
    <m/>
    <n v="210.8"/>
    <s v=""/>
    <n v="1"/>
  </r>
  <r>
    <s v="晴好"/>
    <s v="袖珍動物園2"/>
    <m/>
    <d v="2025-12-01T00:00:00"/>
    <n v="210.8"/>
    <s v="MOMO"/>
    <x v="0"/>
    <m/>
    <m/>
    <m/>
    <n v="210.8"/>
    <s v=""/>
    <n v="1"/>
  </r>
  <r>
    <s v="晴好"/>
    <s v="袖珍動物園3"/>
    <m/>
    <d v="2025-12-01T00:00:00"/>
    <n v="210.8"/>
    <s v="MOMO"/>
    <x v="0"/>
    <m/>
    <m/>
    <m/>
    <n v="210.8"/>
    <s v=""/>
    <n v="1"/>
  </r>
  <r>
    <s v="晴好"/>
    <s v="袖珍動物園4"/>
    <m/>
    <d v="2025-12-01T00:00:00"/>
    <n v="210.8"/>
    <s v="MOMO"/>
    <x v="0"/>
    <m/>
    <m/>
    <m/>
    <n v="210.8"/>
    <s v=""/>
    <n v="1"/>
  </r>
  <r>
    <s v="晴好"/>
    <s v="袖珍動物園5"/>
    <m/>
    <d v="2025-12-01T00:00:00"/>
    <n v="210.8"/>
    <s v="MOMO"/>
    <x v="0"/>
    <m/>
    <m/>
    <m/>
    <n v="210.8"/>
    <s v=""/>
    <n v="1"/>
  </r>
  <r>
    <s v="晴好"/>
    <s v="神探邁克狐1"/>
    <s v="X"/>
    <d v="2025-05-23T00:00:00"/>
    <n v="181.33333333333334"/>
    <s v="團書"/>
    <x v="26"/>
    <d v="2026-01-04T00:00:00"/>
    <m/>
    <m/>
    <n v="4.3333333333333428"/>
    <n v="0"/>
    <n v="1"/>
  </r>
  <r>
    <s v="晴好"/>
    <s v="神探邁克狐2"/>
    <s v="X"/>
    <d v="2025-05-23T00:00:00"/>
    <n v="181.33333333333334"/>
    <s v="團書"/>
    <x v="26"/>
    <d v="2026-01-04T00:00:00"/>
    <m/>
    <m/>
    <n v="4.3333333333333428"/>
    <n v="0"/>
    <n v="1"/>
  </r>
  <r>
    <s v="晴好"/>
    <s v="神探邁克狐3"/>
    <s v="X"/>
    <d v="2025-05-23T00:00:00"/>
    <n v="181.33333333333334"/>
    <s v="團書"/>
    <x v="26"/>
    <d v="2026-01-04T00:00:00"/>
    <m/>
    <m/>
    <n v="4.3333333333333428"/>
    <n v="0"/>
    <n v="1"/>
  </r>
  <r>
    <s v="晴好"/>
    <s v="神探邁克狐4"/>
    <s v="X"/>
    <d v="2025-05-23T00:00:00"/>
    <n v="181.33333333333334"/>
    <s v="團書"/>
    <x v="26"/>
    <d v="2026-01-04T00:00:00"/>
    <m/>
    <m/>
    <n v="4.3333333333333428"/>
    <n v="0"/>
    <n v="1"/>
  </r>
  <r>
    <s v="晴好"/>
    <s v="神探邁克狐5"/>
    <s v="X"/>
    <d v="2025-05-23T00:00:00"/>
    <n v="181.33333333333334"/>
    <s v="團書"/>
    <x v="26"/>
    <d v="2026-01-04T00:00:00"/>
    <m/>
    <m/>
    <n v="4.3333333333333428"/>
    <n v="0"/>
    <n v="1"/>
  </r>
  <r>
    <s v="晴好"/>
    <s v="神探邁克狐6"/>
    <s v="X"/>
    <d v="2025-05-23T00:00:00"/>
    <n v="181.33333333333334"/>
    <s v="團書"/>
    <x v="26"/>
    <d v="2026-01-04T00:00:00"/>
    <m/>
    <m/>
    <n v="4.3333333333333428"/>
    <n v="0"/>
    <n v="1"/>
  </r>
  <r>
    <s v="晴好"/>
    <s v="欖仁媽媽全球新聞臺【生活篇】小故事讀懂世界，成為守護SDGs的地球小公民"/>
    <m/>
    <d v="2026-01-14T00:00:00"/>
    <n v="222.72727272727272"/>
    <s v="讀共"/>
    <x v="0"/>
    <m/>
    <m/>
    <s v="110冊24500元"/>
    <n v="222.72727272727272"/>
    <s v=""/>
    <n v="1"/>
  </r>
  <r>
    <s v="晴好"/>
    <s v="欖仁媽媽全球新聞臺【世界篇】小故事讀懂世界，成為守護SDGs的地球小公民"/>
    <m/>
    <d v="2026-01-14T00:00:00"/>
    <n v="222.72727272727272"/>
    <s v="讀共"/>
    <x v="0"/>
    <m/>
    <m/>
    <s v="110冊24500元"/>
    <n v="222.72727272727272"/>
    <s v=""/>
    <n v="1"/>
  </r>
  <r>
    <s v="小宇宙"/>
    <s v="吵架了怎麼和好"/>
    <s v="V"/>
    <d v="2025-04-16T00:00:00"/>
    <n v="270"/>
    <s v="其他"/>
    <x v="27"/>
    <d v="2025-11-29T00:00:00"/>
    <m/>
    <m/>
    <n v="48.924999999999983"/>
    <n v="1"/>
    <n v="1"/>
  </r>
  <r>
    <s v="小宇宙"/>
    <s v="無敵姊弟科學大冒險(1)：樂器倉庫的祕密"/>
    <m/>
    <d v="2023-08-07T00:00:00"/>
    <n v="250"/>
    <s v="博客來"/>
    <x v="0"/>
    <m/>
    <m/>
    <m/>
    <n v="250"/>
    <s v=""/>
    <n v="1"/>
  </r>
  <r>
    <s v="未來"/>
    <s v="地獄小學1"/>
    <s v="V"/>
    <d v="2025-04-07T00:00:00"/>
    <n v="216"/>
    <s v="博客來"/>
    <x v="28"/>
    <d v="2025-09-26T00:00:00"/>
    <m/>
    <m/>
    <n v="32"/>
    <n v="1"/>
    <n v="1"/>
  </r>
  <r>
    <s v="未來"/>
    <s v="地獄小學2"/>
    <s v="V"/>
    <d v="2025-04-07T00:00:00"/>
    <n v="216"/>
    <s v="博客來"/>
    <x v="28"/>
    <d v="2025-09-26T00:00:00"/>
    <m/>
    <m/>
    <n v="32"/>
    <n v="1"/>
    <n v="1"/>
  </r>
  <r>
    <s v="天衛"/>
    <s v="說給兒童的臺灣歷史書"/>
    <m/>
    <d v="2025-04-07T00:00:00"/>
    <n v="3500"/>
    <s v="博客來"/>
    <x v="0"/>
    <m/>
    <m/>
    <m/>
    <n v="3500"/>
    <s v=""/>
    <n v="1"/>
  </r>
  <r>
    <s v="五南"/>
    <s v="一起開口說唐詩(上)"/>
    <m/>
    <d v="2024-10-27T00:00:00"/>
    <n v="280"/>
    <s v="博客來"/>
    <x v="0"/>
    <m/>
    <m/>
    <s v="折價券25"/>
    <n v="280"/>
    <s v=""/>
    <n v="1"/>
  </r>
  <r>
    <s v="五南"/>
    <s v="一起開口說唐詩(下)"/>
    <m/>
    <d v="2024-10-27T00:00:00"/>
    <n v="280"/>
    <s v="博客來"/>
    <x v="0"/>
    <m/>
    <m/>
    <s v="折價券25"/>
    <n v="280"/>
    <s v=""/>
    <n v="1"/>
  </r>
  <r>
    <s v="小光點"/>
    <s v="屁屁丹迪1"/>
    <s v="V"/>
    <d v="2024-06-10T00:00:00"/>
    <n v="217"/>
    <s v="其他"/>
    <x v="29"/>
    <d v="2025-04-04T00:00:00"/>
    <m/>
    <m/>
    <n v="49"/>
    <n v="1"/>
    <n v="1"/>
  </r>
  <r>
    <s v="小光點"/>
    <s v="屁屁丹迪2"/>
    <s v="V"/>
    <d v="2024-06-10T00:00:00"/>
    <n v="217"/>
    <s v="其他"/>
    <x v="29"/>
    <d v="2025-04-04T00:00:00"/>
    <m/>
    <m/>
    <n v="49"/>
    <n v="1"/>
    <n v="1"/>
  </r>
  <r>
    <s v="小光點"/>
    <s v="屁屁丹迪3"/>
    <s v="V"/>
    <d v="2024-06-10T00:00:00"/>
    <n v="217"/>
    <s v="其他"/>
    <x v="29"/>
    <d v="2025-04-04T00:00:00"/>
    <m/>
    <m/>
    <n v="49"/>
    <n v="1"/>
    <n v="1"/>
  </r>
  <r>
    <s v="小光點"/>
    <s v="屁屁丹迪4"/>
    <s v="V"/>
    <d v="2024-06-10T00:00:00"/>
    <n v="217"/>
    <s v="其他"/>
    <x v="29"/>
    <d v="2025-04-04T00:00:00"/>
    <m/>
    <m/>
    <n v="49"/>
    <n v="1"/>
    <n v="1"/>
  </r>
  <r>
    <s v="小光點"/>
    <s v="屁屁丹迪5"/>
    <s v="V"/>
    <d v="2024-06-10T00:00:00"/>
    <n v="217"/>
    <s v="其他"/>
    <x v="29"/>
    <d v="2025-04-04T00:00:00"/>
    <m/>
    <m/>
    <n v="49"/>
    <n v="1"/>
    <n v="1"/>
  </r>
  <r>
    <s v="小光點"/>
    <s v="屁屁丹迪6"/>
    <s v="V"/>
    <d v="2024-06-10T00:00:00"/>
    <n v="217"/>
    <s v="其他"/>
    <x v="29"/>
    <d v="2025-04-04T00:00:00"/>
    <m/>
    <m/>
    <n v="49"/>
    <n v="1"/>
    <n v="1"/>
  </r>
  <r>
    <s v="小光點"/>
    <s v="屁屁丹迪7"/>
    <s v="V"/>
    <d v="2024-06-10T00:00:00"/>
    <n v="217"/>
    <s v="其他"/>
    <x v="29"/>
    <d v="2025-04-04T00:00:00"/>
    <m/>
    <m/>
    <n v="49"/>
    <n v="1"/>
    <n v="1"/>
  </r>
  <r>
    <s v="小角落文化"/>
    <s v="漫畫版名人傳 奠定AI基礎的天才數學家—艾倫.圖靈"/>
    <m/>
    <d v="2025-11-06T00:00:00"/>
    <n v="189"/>
    <s v="MOMO"/>
    <x v="0"/>
    <m/>
    <m/>
    <m/>
    <n v="189"/>
    <s v=""/>
    <n v="1"/>
  </r>
  <r>
    <s v="小角落文化"/>
    <s v="漫畫版名人傳 諾貝爾—寄託和平與未來於獎項"/>
    <m/>
    <d v="2025-11-06T00:00:00"/>
    <n v="189"/>
    <s v="MOMO"/>
    <x v="0"/>
    <m/>
    <m/>
    <m/>
    <n v="189"/>
    <s v=""/>
    <n v="1"/>
  </r>
  <r>
    <s v="小角落文化"/>
    <s v="奇怪的無人商店1：奇怪的無人冰店"/>
    <m/>
    <d v="2025-12-03T00:00:00"/>
    <n v="198"/>
    <s v="MOMO"/>
    <x v="0"/>
    <m/>
    <m/>
    <m/>
    <n v="198"/>
    <s v=""/>
    <n v="1"/>
  </r>
  <r>
    <s v="步步"/>
    <s v="三隻小鼴鼠：夏日森林套書&lt;螢光山林&gt;"/>
    <m/>
    <d v="2025-11-10T00:00:00"/>
    <n v="194.66666666666666"/>
    <s v="MOMO"/>
    <x v="0"/>
    <m/>
    <m/>
    <m/>
    <n v="194.66666666666666"/>
    <s v=""/>
    <n v="1"/>
  </r>
  <r>
    <s v="步步"/>
    <s v="三隻小鼴鼠：夏日森林套書&lt;蟬鳴聲林&gt;"/>
    <m/>
    <d v="2025-11-10T00:00:00"/>
    <n v="194.66666666666666"/>
    <s v="MOMO"/>
    <x v="0"/>
    <m/>
    <m/>
    <m/>
    <n v="194.66666666666666"/>
    <s v=""/>
    <n v="1"/>
  </r>
  <r>
    <s v="步步"/>
    <s v="三隻小鼴鼠：夏日森林套書&lt;真菌森林&gt;"/>
    <m/>
    <d v="2025-11-10T00:00:00"/>
    <n v="194.66666666666666"/>
    <s v="MOMO"/>
    <x v="0"/>
    <m/>
    <m/>
    <m/>
    <n v="194.66666666666666"/>
    <s v=""/>
    <n v="1"/>
  </r>
  <r>
    <s v="南門"/>
    <s v="西遊記1"/>
    <s v="V"/>
    <d v="2024-03-16T00:00:00"/>
    <n v="65"/>
    <s v="南門"/>
    <x v="30"/>
    <d v="2025-12-18T00:00:00"/>
    <m/>
    <m/>
    <n v="-7.2999999999999972"/>
    <n v="1"/>
    <n v="1"/>
  </r>
  <r>
    <s v="南門"/>
    <s v="西遊記2"/>
    <s v="V"/>
    <d v="2024-03-16T00:00:00"/>
    <n v="65"/>
    <s v="南門"/>
    <x v="30"/>
    <d v="2025-12-18T00:00:00"/>
    <m/>
    <m/>
    <n v="-7.2999999999999972"/>
    <n v="1"/>
    <n v="1"/>
  </r>
  <r>
    <s v="南門"/>
    <s v="西遊記3-10"/>
    <s v="X"/>
    <d v="2024-03-16T00:00:00"/>
    <n v="520"/>
    <s v="南門"/>
    <x v="31"/>
    <d v="2025-12-18T00:00:00"/>
    <m/>
    <m/>
    <n v="-58.399999999999977"/>
    <n v="0"/>
    <n v="8"/>
  </r>
  <r>
    <s v="南門"/>
    <s v="三國演義10本"/>
    <s v="X"/>
    <d v="2024-03-16T00:00:00"/>
    <n v="650"/>
    <s v="南門"/>
    <x v="32"/>
    <d v="2025-12-10T00:00:00"/>
    <m/>
    <m/>
    <n v="-89"/>
    <n v="0"/>
    <n v="10"/>
  </r>
  <r>
    <s v="南門"/>
    <s v="中國孩子故事100本"/>
    <s v="V"/>
    <d v="2023-12-27T00:00:00"/>
    <n v="3240"/>
    <s v="南門"/>
    <x v="33"/>
    <d v="2024-04-21T00:00:00"/>
    <m/>
    <m/>
    <n v="817"/>
    <n v="100"/>
    <n v="100"/>
  </r>
  <r>
    <s v="南門"/>
    <s v="小牛頓-地球上的水1"/>
    <s v="V"/>
    <d v="2023-11-03T00:00:00"/>
    <n v="83.055555555555557"/>
    <s v="南門"/>
    <x v="0"/>
    <m/>
    <d v="2025-11-09T00:00:00"/>
    <m/>
    <n v="83.055555555555557"/>
    <n v="1"/>
    <n v="1"/>
  </r>
  <r>
    <s v="南門"/>
    <s v="小牛頓-深海潛將—抹香鯨2"/>
    <s v="V"/>
    <d v="2023-11-03T00:00:00"/>
    <n v="83.055555555555557"/>
    <s v="南門"/>
    <x v="0"/>
    <m/>
    <d v="2025-11-11T00:00:00"/>
    <m/>
    <n v="83.055555555555557"/>
    <n v="1"/>
    <n v="1"/>
  </r>
  <r>
    <s v="南門"/>
    <s v="小牛頓-最勤勞的小昆蟲—螞蟻3"/>
    <s v="V"/>
    <d v="2023-11-03T00:00:00"/>
    <n v="83.055555555555557"/>
    <s v="南門"/>
    <x v="0"/>
    <m/>
    <d v="2025-11-13T00:00:00"/>
    <m/>
    <n v="83.055555555555557"/>
    <n v="1"/>
    <n v="1"/>
  </r>
  <r>
    <s v="南門"/>
    <s v="小牛頓-戰力高強的螳螂4"/>
    <s v="V"/>
    <d v="2023-11-03T00:00:00"/>
    <n v="83.055555555555557"/>
    <s v="南門"/>
    <x v="0"/>
    <m/>
    <d v="2026-03-19T00:00:00"/>
    <m/>
    <n v="83.055555555555557"/>
    <n v="1"/>
    <n v="1"/>
  </r>
  <r>
    <s v="南門"/>
    <s v="小牛頓32本"/>
    <m/>
    <d v="2023-11-03T00:00:00"/>
    <n v="2657.7777777777778"/>
    <s v="南門"/>
    <x v="0"/>
    <m/>
    <m/>
    <m/>
    <n v="2657.7777777777778"/>
    <s v=""/>
    <n v="32"/>
  </r>
  <r>
    <s v="南門"/>
    <s v="孩子的第一套地理、歷史"/>
    <m/>
    <d v="2023-10-16T00:00:00"/>
    <n v="1210"/>
    <s v="南門"/>
    <x v="0"/>
    <m/>
    <m/>
    <m/>
    <n v="1210"/>
    <s v=""/>
    <n v="20"/>
  </r>
  <r>
    <s v="南門"/>
    <s v="漫畫科學超有趣8本"/>
    <s v="X"/>
    <d v="2023-10-16T00:00:00"/>
    <n v="890"/>
    <s v="南門"/>
    <x v="34"/>
    <d v="2026-03-30T00:00:00"/>
    <m/>
    <m/>
    <n v="81"/>
    <n v="0"/>
    <n v="8"/>
  </r>
  <r>
    <s v="南門"/>
    <s v="閱讀啟蒙橋樑書15本"/>
    <s v="V"/>
    <d v="2023-09-13T00:00:00"/>
    <n v="799"/>
    <s v="南門"/>
    <x v="35"/>
    <m/>
    <m/>
    <m/>
    <n v="226"/>
    <n v="15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70CBA-CBFC-4127-A5D1-E80100A7F6FD}" name="樞紐分析表1" cacheId="12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4:F35" firstHeaderRow="0" firstDataRow="1" firstDataCol="1"/>
  <pivotFields count="13">
    <pivotField axis="axisRow" showAll="0">
      <items count="32">
        <item x="12"/>
        <item x="5"/>
        <item x="19"/>
        <item x="15"/>
        <item x="7"/>
        <item x="3"/>
        <item x="8"/>
        <item x="18"/>
        <item x="17"/>
        <item x="4"/>
        <item x="16"/>
        <item x="11"/>
        <item x="1"/>
        <item x="22"/>
        <item x="10"/>
        <item x="6"/>
        <item x="9"/>
        <item x="14"/>
        <item x="2"/>
        <item x="13"/>
        <item x="0"/>
        <item x="20"/>
        <item x="21"/>
        <item x="23"/>
        <item x="24"/>
        <item h="1" x="30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numFmtId="176" showAll="0"/>
    <pivotField dataField="1" showAll="0"/>
    <pivotField dataField="1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加總 - 買入價" fld="4" baseField="0" baseItem="0" numFmtId="177"/>
    <dataField name="加總 - 書籍數" fld="12" baseField="0" baseItem="0"/>
    <dataField name="加總 - 已讀數量" fld="11" baseField="0" baseItem="11"/>
    <dataField name="加總 - 售出價" fld="6" baseField="0" baseItem="0"/>
    <dataField name="加總 - 成本" fld="10" baseField="0" baseItem="0" numFmtId="176"/>
  </dataFields>
  <formats count="2">
    <format dxfId="19">
      <pivotArea outline="0" collapsedLevelsAreSubtotals="1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B60DF-F4C1-42F4-9600-46473295FE46}" name="樞紐分析表3" cacheId="13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H16:L17" firstHeaderRow="0" firstDataRow="1" firstDataCol="0" rowPageCount="1" colPageCount="1"/>
  <pivotFields count="13">
    <pivotField showAll="0"/>
    <pivotField showAll="0"/>
    <pivotField showAll="0"/>
    <pivotField showAll="0" sortType="ascending"/>
    <pivotField dataField="1" showAll="0"/>
    <pivotField showAll="0"/>
    <pivotField axis="axisPage" dataField="1" multipleItemSelectionAllowed="1" showAll="0">
      <items count="37">
        <item x="33"/>
        <item x="35"/>
        <item x="23"/>
        <item x="8"/>
        <item x="28"/>
        <item x="6"/>
        <item x="11"/>
        <item x="21"/>
        <item x="29"/>
        <item x="4"/>
        <item x="20"/>
        <item x="13"/>
        <item x="9"/>
        <item x="25"/>
        <item x="10"/>
        <item x="7"/>
        <item x="12"/>
        <item h="1" x="0"/>
        <item x="3"/>
        <item x="15"/>
        <item x="19"/>
        <item x="27"/>
        <item x="5"/>
        <item x="32"/>
        <item x="30"/>
        <item x="31"/>
        <item x="17"/>
        <item x="14"/>
        <item x="26"/>
        <item x="16"/>
        <item x="24"/>
        <item x="18"/>
        <item x="1"/>
        <item x="22"/>
        <item x="2"/>
        <item x="34"/>
        <item t="default"/>
      </items>
    </pivotField>
    <pivotField multipleItemSelectionAllowed="1" showAll="0"/>
    <pivotField showAll="0"/>
    <pivotField showAll="0"/>
    <pivotField dataField="1" numFmtId="176" showAll="0"/>
    <pivotField dataField="1" showAll="0"/>
    <pivotField dataField="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6" hier="-1"/>
  </pageFields>
  <dataFields count="5">
    <dataField name="加總 - 書籍數" fld="12" baseField="0" baseItem="0"/>
    <dataField name="加總 - 已讀數量" fld="11" baseField="2" baseItem="0"/>
    <dataField name="加總 - 買入價" fld="4" baseField="0" baseItem="0" numFmtId="177"/>
    <dataField name="加總 - 售出價" fld="6" baseField="0" baseItem="0"/>
    <dataField name="加總 - 成本" fld="10" baseField="0" baseItem="0" numFmtId="176"/>
  </dataFields>
  <formats count="2">
    <format dxfId="21">
      <pivotArea outline="0" collapsedLevelsAreSubtotals="1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8AB8E-1C24-4337-BFD1-8D2082EAD55D}" name="樞紐分析表2" cacheId="13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H4:K8" firstHeaderRow="0" firstDataRow="1" firstDataCol="1"/>
  <pivotFields count="13">
    <pivotField showAll="0"/>
    <pivotField showAll="0"/>
    <pivotField axis="axisRow" showAll="0">
      <items count="4">
        <item n="已讀" x="1"/>
        <item n="未讀" x="0"/>
        <item x="2"/>
        <item t="default"/>
      </items>
    </pivotField>
    <pivotField showAll="0" sortType="ascending"/>
    <pivotField dataField="1" showAll="0"/>
    <pivotField showAll="0"/>
    <pivotField showAll="0"/>
    <pivotField showAll="0"/>
    <pivotField showAll="0"/>
    <pivotField showAll="0"/>
    <pivotField numFmtId="176"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加總 - 買入價" fld="4" baseField="0" baseItem="0" numFmtId="177"/>
    <dataField name="加總 - 書籍數" fld="12" baseField="0" baseItem="0"/>
    <dataField name="加總 - 已讀數量" fld="11" baseField="2" baseItem="0"/>
  </dataFields>
  <formats count="2">
    <format dxfId="23">
      <pivotArea outline="0" collapsedLevelsAreSubtotals="1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4105-94FE-49F9-B422-081C84D4387E}">
  <dimension ref="A3:M59"/>
  <sheetViews>
    <sheetView showGridLines="0" topLeftCell="B1" workbookViewId="0">
      <selection activeCell="J17" sqref="J17"/>
    </sheetView>
  </sheetViews>
  <sheetFormatPr defaultRowHeight="16.75" x14ac:dyDescent="0.45"/>
  <cols>
    <col min="1" max="1" width="12.15234375" bestFit="1" customWidth="1"/>
    <col min="2" max="2" width="14.69140625" style="9" bestFit="1" customWidth="1"/>
    <col min="3" max="3" width="14.69140625" bestFit="1" customWidth="1"/>
    <col min="4" max="4" width="17.07421875" bestFit="1" customWidth="1"/>
    <col min="5" max="5" width="14.69140625" bestFit="1" customWidth="1"/>
    <col min="6" max="7" width="12.3046875" customWidth="1"/>
    <col min="8" max="8" width="14.69140625" bestFit="1" customWidth="1"/>
    <col min="9" max="9" width="17.07421875" style="9" bestFit="1" customWidth="1"/>
    <col min="10" max="11" width="14.69140625" bestFit="1" customWidth="1"/>
    <col min="12" max="13" width="12.3046875" bestFit="1" customWidth="1"/>
  </cols>
  <sheetData>
    <row r="3" spans="1:12" x14ac:dyDescent="0.45">
      <c r="D3" s="10"/>
    </row>
    <row r="4" spans="1:12" x14ac:dyDescent="0.45">
      <c r="A4" s="7" t="s">
        <v>389</v>
      </c>
      <c r="B4" t="s">
        <v>412</v>
      </c>
      <c r="C4" t="s">
        <v>496</v>
      </c>
      <c r="D4" t="s">
        <v>491</v>
      </c>
      <c r="E4" t="s">
        <v>485</v>
      </c>
      <c r="F4" t="s">
        <v>483</v>
      </c>
      <c r="H4" s="7" t="s">
        <v>389</v>
      </c>
      <c r="I4" t="s">
        <v>412</v>
      </c>
      <c r="J4" t="s">
        <v>496</v>
      </c>
      <c r="K4" t="s">
        <v>491</v>
      </c>
    </row>
    <row r="5" spans="1:12" x14ac:dyDescent="0.45">
      <c r="A5" s="8" t="s">
        <v>390</v>
      </c>
      <c r="B5" s="10">
        <v>26096.999999999993</v>
      </c>
      <c r="C5" s="10">
        <v>132</v>
      </c>
      <c r="D5" s="10">
        <v>53</v>
      </c>
      <c r="E5" s="10">
        <v>-7302.9999999999991</v>
      </c>
      <c r="F5" s="10">
        <v>18793.999999999989</v>
      </c>
      <c r="G5" s="10"/>
      <c r="H5" s="8" t="s">
        <v>492</v>
      </c>
      <c r="I5" s="10">
        <v>56305.246031746014</v>
      </c>
      <c r="J5" s="10">
        <v>396</v>
      </c>
      <c r="K5" s="10">
        <v>396</v>
      </c>
    </row>
    <row r="6" spans="1:12" x14ac:dyDescent="0.45">
      <c r="A6" s="8" t="s">
        <v>391</v>
      </c>
      <c r="B6" s="10">
        <v>4725.9999999999982</v>
      </c>
      <c r="C6" s="10">
        <v>22</v>
      </c>
      <c r="D6" s="10">
        <v>13</v>
      </c>
      <c r="E6" s="10">
        <v>-2561.2400000000002</v>
      </c>
      <c r="F6" s="10">
        <v>2164.7599999999993</v>
      </c>
      <c r="G6" s="10"/>
      <c r="H6" s="8" t="s">
        <v>579</v>
      </c>
      <c r="I6" s="10">
        <v>51278.405916305979</v>
      </c>
      <c r="J6" s="10">
        <v>273</v>
      </c>
      <c r="K6" s="10">
        <v>0</v>
      </c>
    </row>
    <row r="7" spans="1:12" x14ac:dyDescent="0.45">
      <c r="A7" s="8" t="s">
        <v>392</v>
      </c>
      <c r="B7" s="10">
        <v>1519</v>
      </c>
      <c r="C7" s="10">
        <v>7</v>
      </c>
      <c r="D7" s="10">
        <v>7</v>
      </c>
      <c r="E7" s="10">
        <v>-1176</v>
      </c>
      <c r="F7" s="10">
        <v>343</v>
      </c>
      <c r="G7" s="10"/>
      <c r="H7" s="8" t="s">
        <v>558</v>
      </c>
      <c r="I7" s="10">
        <v>3341.8571428571431</v>
      </c>
      <c r="J7" s="10">
        <v>33</v>
      </c>
      <c r="K7" s="10">
        <v>0</v>
      </c>
    </row>
    <row r="8" spans="1:12" x14ac:dyDescent="0.45">
      <c r="A8" s="8" t="s">
        <v>393</v>
      </c>
      <c r="B8" s="10">
        <v>520</v>
      </c>
      <c r="C8" s="10">
        <v>2</v>
      </c>
      <c r="D8" s="10">
        <v>1</v>
      </c>
      <c r="E8" s="10">
        <v>-221.07500000000002</v>
      </c>
      <c r="F8" s="10">
        <v>298.92499999999995</v>
      </c>
      <c r="G8" s="10"/>
      <c r="H8" s="8" t="s">
        <v>411</v>
      </c>
      <c r="I8" s="10">
        <v>110925.50909090914</v>
      </c>
      <c r="J8" s="10">
        <v>702</v>
      </c>
      <c r="K8" s="10">
        <v>396</v>
      </c>
    </row>
    <row r="9" spans="1:12" x14ac:dyDescent="0.45">
      <c r="A9" s="8" t="s">
        <v>394</v>
      </c>
      <c r="B9" s="10">
        <v>2454.9999999999995</v>
      </c>
      <c r="C9" s="10">
        <v>13</v>
      </c>
      <c r="D9" s="10">
        <v>6</v>
      </c>
      <c r="E9" s="10"/>
      <c r="F9" s="10">
        <v>2454.9999999999995</v>
      </c>
      <c r="G9" s="10"/>
      <c r="I9"/>
    </row>
    <row r="10" spans="1:12" x14ac:dyDescent="0.45">
      <c r="A10" s="8" t="s">
        <v>395</v>
      </c>
      <c r="B10" s="10">
        <v>3927.727272727273</v>
      </c>
      <c r="C10" s="10">
        <v>19</v>
      </c>
      <c r="D10" s="10">
        <v>11</v>
      </c>
      <c r="E10" s="10">
        <v>-1020</v>
      </c>
      <c r="F10" s="10">
        <v>2907.727272727273</v>
      </c>
      <c r="G10" s="10"/>
      <c r="I10"/>
    </row>
    <row r="11" spans="1:12" x14ac:dyDescent="0.45">
      <c r="A11" s="8" t="s">
        <v>396</v>
      </c>
      <c r="B11" s="10">
        <v>270</v>
      </c>
      <c r="C11" s="10">
        <v>1</v>
      </c>
      <c r="D11" s="10">
        <v>0</v>
      </c>
      <c r="E11" s="10"/>
      <c r="F11" s="10">
        <v>270</v>
      </c>
      <c r="G11" s="10"/>
      <c r="I11"/>
    </row>
    <row r="12" spans="1:12" x14ac:dyDescent="0.45">
      <c r="A12" s="8" t="s">
        <v>397</v>
      </c>
      <c r="B12" s="10">
        <v>560</v>
      </c>
      <c r="C12" s="10">
        <v>2</v>
      </c>
      <c r="D12" s="10">
        <v>0</v>
      </c>
      <c r="E12" s="10"/>
      <c r="F12" s="10">
        <v>560</v>
      </c>
      <c r="G12" s="10"/>
      <c r="I12"/>
    </row>
    <row r="13" spans="1:12" x14ac:dyDescent="0.45">
      <c r="A13" s="8" t="s">
        <v>398</v>
      </c>
      <c r="B13" s="10">
        <v>3500</v>
      </c>
      <c r="C13" s="10">
        <v>1</v>
      </c>
      <c r="D13" s="10">
        <v>0</v>
      </c>
      <c r="E13" s="10"/>
      <c r="F13" s="10">
        <v>3500</v>
      </c>
      <c r="G13" s="10"/>
      <c r="H13" t="s">
        <v>493</v>
      </c>
      <c r="I13"/>
    </row>
    <row r="14" spans="1:12" x14ac:dyDescent="0.45">
      <c r="A14" s="8" t="s">
        <v>399</v>
      </c>
      <c r="B14" s="10">
        <v>582</v>
      </c>
      <c r="C14" s="10">
        <v>3</v>
      </c>
      <c r="D14" s="10">
        <v>3</v>
      </c>
      <c r="E14" s="10"/>
      <c r="F14" s="10">
        <v>582</v>
      </c>
      <c r="G14" s="10"/>
      <c r="H14" s="7" t="s">
        <v>486</v>
      </c>
      <c r="I14" t="s">
        <v>484</v>
      </c>
    </row>
    <row r="15" spans="1:12" x14ac:dyDescent="0.45">
      <c r="A15" s="8" t="s">
        <v>400</v>
      </c>
      <c r="B15" s="10">
        <v>432</v>
      </c>
      <c r="C15" s="10">
        <v>2</v>
      </c>
      <c r="D15" s="10">
        <v>2</v>
      </c>
      <c r="E15" s="10">
        <v>-368</v>
      </c>
      <c r="F15" s="10">
        <v>64</v>
      </c>
      <c r="G15" s="10"/>
      <c r="I15"/>
    </row>
    <row r="16" spans="1:12" x14ac:dyDescent="0.45">
      <c r="A16" s="8" t="s">
        <v>401</v>
      </c>
      <c r="B16" s="10">
        <v>3745</v>
      </c>
      <c r="C16" s="10">
        <v>21</v>
      </c>
      <c r="D16" s="10">
        <v>6</v>
      </c>
      <c r="E16" s="10">
        <v>-278.625</v>
      </c>
      <c r="F16" s="10">
        <v>3466.375</v>
      </c>
      <c r="G16" s="10"/>
      <c r="H16" t="s">
        <v>496</v>
      </c>
      <c r="I16" t="s">
        <v>491</v>
      </c>
      <c r="J16" t="s">
        <v>412</v>
      </c>
      <c r="K16" t="s">
        <v>485</v>
      </c>
      <c r="L16" t="s">
        <v>483</v>
      </c>
    </row>
    <row r="17" spans="1:13" x14ac:dyDescent="0.45">
      <c r="A17" s="8" t="s">
        <v>402</v>
      </c>
      <c r="B17" s="10">
        <v>3605.7999999999993</v>
      </c>
      <c r="C17" s="10">
        <v>21</v>
      </c>
      <c r="D17" s="10">
        <v>9</v>
      </c>
      <c r="E17" s="10"/>
      <c r="F17" s="10">
        <v>3605.7999999999993</v>
      </c>
      <c r="G17" s="10"/>
      <c r="H17" s="10">
        <v>273</v>
      </c>
      <c r="I17" s="10">
        <v>240</v>
      </c>
      <c r="J17" s="10">
        <v>31821.799999999992</v>
      </c>
      <c r="K17" s="10">
        <v>-28029.940000000021</v>
      </c>
      <c r="L17" s="10">
        <v>3791.8600000000024</v>
      </c>
      <c r="M17" s="11">
        <f>L17/I17</f>
        <v>15.799416666666676</v>
      </c>
    </row>
    <row r="18" spans="1:13" x14ac:dyDescent="0.45">
      <c r="A18" s="8" t="s">
        <v>403</v>
      </c>
      <c r="B18" s="10">
        <v>10429</v>
      </c>
      <c r="C18" s="10">
        <v>199</v>
      </c>
      <c r="D18" s="10">
        <v>121</v>
      </c>
      <c r="E18" s="10">
        <v>-5267</v>
      </c>
      <c r="F18" s="10">
        <v>5162</v>
      </c>
      <c r="G18" s="10"/>
      <c r="I18"/>
    </row>
    <row r="19" spans="1:13" x14ac:dyDescent="0.45">
      <c r="A19" s="8" t="s">
        <v>404</v>
      </c>
      <c r="B19" s="10">
        <v>2296</v>
      </c>
      <c r="C19" s="10">
        <v>2</v>
      </c>
      <c r="D19" s="10">
        <v>0</v>
      </c>
      <c r="E19" s="10"/>
      <c r="F19" s="10">
        <v>2296</v>
      </c>
      <c r="G19" s="10"/>
      <c r="I19"/>
    </row>
    <row r="20" spans="1:13" x14ac:dyDescent="0.45">
      <c r="A20" s="8" t="s">
        <v>405</v>
      </c>
      <c r="B20" s="10">
        <v>624</v>
      </c>
      <c r="C20" s="10">
        <v>3</v>
      </c>
      <c r="D20" s="10">
        <v>0</v>
      </c>
      <c r="E20" s="10"/>
      <c r="F20" s="10">
        <v>624</v>
      </c>
      <c r="G20" s="10"/>
      <c r="I20"/>
    </row>
    <row r="21" spans="1:13" x14ac:dyDescent="0.45">
      <c r="A21" s="8" t="s">
        <v>406</v>
      </c>
      <c r="B21" s="10">
        <v>1281</v>
      </c>
      <c r="C21" s="10">
        <v>5</v>
      </c>
      <c r="D21" s="10">
        <v>0</v>
      </c>
      <c r="E21" s="10"/>
      <c r="F21" s="10">
        <v>1281</v>
      </c>
      <c r="G21" s="10"/>
      <c r="I21"/>
    </row>
    <row r="22" spans="1:13" x14ac:dyDescent="0.45">
      <c r="A22" s="8" t="s">
        <v>407</v>
      </c>
      <c r="B22" s="10">
        <v>2587.4545454545446</v>
      </c>
      <c r="C22" s="10">
        <v>13</v>
      </c>
      <c r="D22" s="10">
        <v>0</v>
      </c>
      <c r="E22" s="10">
        <v>-1062</v>
      </c>
      <c r="F22" s="10">
        <v>1525.454545454545</v>
      </c>
      <c r="G22" s="10"/>
      <c r="I22"/>
    </row>
    <row r="23" spans="1:13" x14ac:dyDescent="0.45">
      <c r="A23" s="8" t="s">
        <v>408</v>
      </c>
      <c r="B23" s="10">
        <v>4078</v>
      </c>
      <c r="C23" s="10">
        <v>18</v>
      </c>
      <c r="D23" s="10">
        <v>18</v>
      </c>
      <c r="E23" s="10"/>
      <c r="F23" s="10">
        <v>4078</v>
      </c>
      <c r="G23" s="10"/>
      <c r="I23"/>
    </row>
    <row r="24" spans="1:13" x14ac:dyDescent="0.45">
      <c r="A24" s="8" t="s">
        <v>409</v>
      </c>
      <c r="B24" s="10">
        <v>5259.8000000000011</v>
      </c>
      <c r="C24" s="10">
        <v>29</v>
      </c>
      <c r="D24" s="10">
        <v>13</v>
      </c>
      <c r="E24" s="10">
        <v>-1465</v>
      </c>
      <c r="F24" s="10">
        <v>3794.8000000000011</v>
      </c>
      <c r="G24" s="10"/>
      <c r="I24"/>
    </row>
    <row r="25" spans="1:13" x14ac:dyDescent="0.45">
      <c r="A25" s="8" t="s">
        <v>410</v>
      </c>
      <c r="B25" s="10">
        <v>26031.999999999996</v>
      </c>
      <c r="C25" s="10">
        <v>148</v>
      </c>
      <c r="D25" s="10">
        <v>122</v>
      </c>
      <c r="E25" s="10">
        <v>-7307.9999999999973</v>
      </c>
      <c r="F25" s="10">
        <v>18724.000000000004</v>
      </c>
      <c r="G25" s="10"/>
      <c r="I25"/>
    </row>
    <row r="26" spans="1:13" x14ac:dyDescent="0.45">
      <c r="A26" s="8" t="s">
        <v>487</v>
      </c>
      <c r="B26" s="10">
        <v>576</v>
      </c>
      <c r="C26" s="10">
        <v>3</v>
      </c>
      <c r="D26" s="10">
        <v>0</v>
      </c>
      <c r="E26" s="10"/>
      <c r="F26" s="10">
        <v>576</v>
      </c>
      <c r="G26" s="10"/>
      <c r="I26"/>
    </row>
    <row r="27" spans="1:13" x14ac:dyDescent="0.45">
      <c r="A27" s="8" t="s">
        <v>502</v>
      </c>
      <c r="B27" s="10">
        <v>584</v>
      </c>
      <c r="C27" s="10">
        <v>3</v>
      </c>
      <c r="D27" s="10">
        <v>0</v>
      </c>
      <c r="E27" s="10"/>
      <c r="F27" s="10">
        <v>584</v>
      </c>
      <c r="G27" s="10"/>
      <c r="I27"/>
    </row>
    <row r="28" spans="1:13" x14ac:dyDescent="0.45">
      <c r="A28" s="8" t="s">
        <v>545</v>
      </c>
      <c r="B28" s="10">
        <v>370</v>
      </c>
      <c r="C28" s="10">
        <v>2</v>
      </c>
      <c r="D28" s="10">
        <v>1</v>
      </c>
      <c r="E28" s="10"/>
      <c r="F28" s="10">
        <v>370</v>
      </c>
      <c r="I28"/>
    </row>
    <row r="29" spans="1:13" x14ac:dyDescent="0.45">
      <c r="A29" s="8" t="s">
        <v>560</v>
      </c>
      <c r="B29" s="10">
        <v>2370</v>
      </c>
      <c r="C29" s="10">
        <v>12</v>
      </c>
      <c r="D29" s="10">
        <v>4</v>
      </c>
      <c r="E29" s="10"/>
      <c r="F29" s="10">
        <v>2370</v>
      </c>
      <c r="I29"/>
    </row>
    <row r="30" spans="1:13" x14ac:dyDescent="0.45">
      <c r="A30" s="8" t="s">
        <v>587</v>
      </c>
      <c r="B30" s="10">
        <v>347</v>
      </c>
      <c r="C30" s="10">
        <v>3</v>
      </c>
      <c r="D30" s="10">
        <v>0</v>
      </c>
      <c r="E30" s="10"/>
      <c r="F30" s="10">
        <v>347</v>
      </c>
      <c r="I30"/>
    </row>
    <row r="31" spans="1:13" x14ac:dyDescent="0.45">
      <c r="A31" s="8" t="s">
        <v>632</v>
      </c>
      <c r="B31" s="10">
        <v>490</v>
      </c>
      <c r="C31" s="10">
        <v>5</v>
      </c>
      <c r="D31" s="10">
        <v>5</v>
      </c>
      <c r="E31" s="10"/>
      <c r="F31" s="10">
        <v>490</v>
      </c>
      <c r="I31"/>
    </row>
    <row r="32" spans="1:13" x14ac:dyDescent="0.45">
      <c r="A32" s="8" t="s">
        <v>640</v>
      </c>
      <c r="B32" s="10">
        <v>1296</v>
      </c>
      <c r="C32" s="10">
        <v>9</v>
      </c>
      <c r="D32" s="10">
        <v>0</v>
      </c>
      <c r="E32" s="10"/>
      <c r="F32" s="10">
        <v>1296</v>
      </c>
      <c r="I32"/>
    </row>
    <row r="33" spans="1:9" x14ac:dyDescent="0.45">
      <c r="A33" s="8" t="s">
        <v>667</v>
      </c>
      <c r="B33" s="10">
        <v>143</v>
      </c>
      <c r="C33" s="10">
        <v>1</v>
      </c>
      <c r="D33" s="10">
        <v>1</v>
      </c>
      <c r="E33" s="10"/>
      <c r="F33" s="10">
        <v>143</v>
      </c>
      <c r="I33"/>
    </row>
    <row r="34" spans="1:9" x14ac:dyDescent="0.45">
      <c r="A34" s="8" t="s">
        <v>671</v>
      </c>
      <c r="B34" s="10">
        <v>222.72727272727272</v>
      </c>
      <c r="C34" s="10">
        <v>1</v>
      </c>
      <c r="D34" s="10">
        <v>0</v>
      </c>
      <c r="E34" s="10"/>
      <c r="F34" s="10">
        <v>222.72727272727272</v>
      </c>
      <c r="I34"/>
    </row>
    <row r="35" spans="1:9" x14ac:dyDescent="0.45">
      <c r="A35" s="8" t="s">
        <v>411</v>
      </c>
      <c r="B35" s="10">
        <v>110925.50909090909</v>
      </c>
      <c r="C35" s="10">
        <v>702</v>
      </c>
      <c r="D35" s="10">
        <v>396</v>
      </c>
      <c r="E35" s="10">
        <v>-28029.94</v>
      </c>
      <c r="F35" s="10">
        <v>82895.569090909092</v>
      </c>
      <c r="I35"/>
    </row>
    <row r="36" spans="1:9" x14ac:dyDescent="0.45">
      <c r="B36"/>
      <c r="I36"/>
    </row>
    <row r="37" spans="1:9" x14ac:dyDescent="0.45">
      <c r="B37"/>
      <c r="I37"/>
    </row>
    <row r="38" spans="1:9" x14ac:dyDescent="0.45">
      <c r="B38"/>
      <c r="I38"/>
    </row>
    <row r="39" spans="1:9" x14ac:dyDescent="0.45">
      <c r="B39"/>
      <c r="I39"/>
    </row>
    <row r="40" spans="1:9" x14ac:dyDescent="0.45">
      <c r="B40"/>
      <c r="I40"/>
    </row>
    <row r="41" spans="1:9" x14ac:dyDescent="0.45">
      <c r="B41"/>
      <c r="I41"/>
    </row>
    <row r="42" spans="1:9" x14ac:dyDescent="0.45">
      <c r="B42"/>
      <c r="I42"/>
    </row>
    <row r="43" spans="1:9" x14ac:dyDescent="0.45">
      <c r="B43"/>
      <c r="I43"/>
    </row>
    <row r="44" spans="1:9" x14ac:dyDescent="0.45">
      <c r="B44"/>
      <c r="I44"/>
    </row>
    <row r="45" spans="1:9" x14ac:dyDescent="0.45">
      <c r="B45"/>
      <c r="I45"/>
    </row>
    <row r="46" spans="1:9" x14ac:dyDescent="0.45">
      <c r="B46"/>
      <c r="I46"/>
    </row>
    <row r="47" spans="1:9" x14ac:dyDescent="0.45">
      <c r="B47"/>
      <c r="I47"/>
    </row>
    <row r="48" spans="1:9" x14ac:dyDescent="0.45">
      <c r="B48"/>
      <c r="I48"/>
    </row>
    <row r="49" spans="2:9" x14ac:dyDescent="0.45">
      <c r="B49"/>
      <c r="I49"/>
    </row>
    <row r="50" spans="2:9" x14ac:dyDescent="0.45">
      <c r="B50"/>
      <c r="I50"/>
    </row>
    <row r="51" spans="2:9" x14ac:dyDescent="0.45">
      <c r="B51"/>
      <c r="I51"/>
    </row>
    <row r="52" spans="2:9" x14ac:dyDescent="0.45">
      <c r="B52"/>
      <c r="I52"/>
    </row>
    <row r="53" spans="2:9" x14ac:dyDescent="0.45">
      <c r="B53"/>
      <c r="I53"/>
    </row>
    <row r="54" spans="2:9" x14ac:dyDescent="0.45">
      <c r="B54"/>
      <c r="I54"/>
    </row>
    <row r="55" spans="2:9" x14ac:dyDescent="0.45">
      <c r="B55"/>
      <c r="I55"/>
    </row>
    <row r="56" spans="2:9" x14ac:dyDescent="0.45">
      <c r="B56"/>
      <c r="I56"/>
    </row>
    <row r="57" spans="2:9" x14ac:dyDescent="0.45">
      <c r="B57"/>
      <c r="I57"/>
    </row>
    <row r="58" spans="2:9" x14ac:dyDescent="0.45">
      <c r="B58"/>
      <c r="I58"/>
    </row>
    <row r="59" spans="2:9" x14ac:dyDescent="0.45">
      <c r="I5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F918-AD59-45C2-9937-56480A976216}">
  <dimension ref="A1:N517"/>
  <sheetViews>
    <sheetView tabSelected="1" workbookViewId="0">
      <pane xSplit="2" ySplit="1" topLeftCell="C234" activePane="bottomRight" state="frozen"/>
      <selection pane="topRight" activeCell="C1" sqref="C1"/>
      <selection pane="bottomLeft" activeCell="A2" sqref="A2"/>
      <selection pane="bottomRight" activeCell="J240" sqref="J240"/>
    </sheetView>
  </sheetViews>
  <sheetFormatPr defaultRowHeight="15.45" x14ac:dyDescent="0.45"/>
  <cols>
    <col min="1" max="1" width="9.23046875" style="1"/>
    <col min="2" max="2" width="37.3046875" style="1" customWidth="1"/>
    <col min="3" max="3" width="5.53515625" style="1" bestFit="1" customWidth="1"/>
    <col min="4" max="4" width="13.15234375" style="1" bestFit="1" customWidth="1"/>
    <col min="5" max="5" width="7.765625" style="1" bestFit="1" customWidth="1"/>
    <col min="6" max="6" width="9.84375" style="1" bestFit="1" customWidth="1"/>
    <col min="7" max="7" width="9.3046875" style="1" bestFit="1" customWidth="1"/>
    <col min="8" max="8" width="13.15234375" style="1" bestFit="1" customWidth="1"/>
    <col min="9" max="9" width="13.15234375" style="1" customWidth="1"/>
    <col min="10" max="10" width="21.3046875" style="1" bestFit="1" customWidth="1"/>
    <col min="11" max="11" width="10.07421875" style="6" bestFit="1" customWidth="1"/>
    <col min="12" max="13" width="9.23046875" style="1"/>
    <col min="14" max="14" width="11.84375" style="1" bestFit="1" customWidth="1"/>
    <col min="15" max="16384" width="9.23046875" style="1"/>
  </cols>
  <sheetData>
    <row r="1" spans="1:14" x14ac:dyDescent="0.45">
      <c r="A1" s="4" t="s">
        <v>1</v>
      </c>
      <c r="B1" s="4" t="s">
        <v>2</v>
      </c>
      <c r="C1" s="4" t="s">
        <v>117</v>
      </c>
      <c r="D1" s="4" t="s">
        <v>0</v>
      </c>
      <c r="E1" s="4" t="s">
        <v>3</v>
      </c>
      <c r="F1" s="4" t="s">
        <v>11</v>
      </c>
      <c r="G1" s="4" t="s">
        <v>4</v>
      </c>
      <c r="H1" s="4" t="s">
        <v>5</v>
      </c>
      <c r="I1" s="4" t="s">
        <v>127</v>
      </c>
      <c r="J1" s="4" t="s">
        <v>10</v>
      </c>
      <c r="K1" s="5" t="s">
        <v>119</v>
      </c>
      <c r="L1" s="1" t="s">
        <v>490</v>
      </c>
      <c r="M1" s="1" t="s">
        <v>495</v>
      </c>
      <c r="N1" s="1" t="s">
        <v>661</v>
      </c>
    </row>
    <row r="2" spans="1:14" x14ac:dyDescent="0.45">
      <c r="A2" s="1" t="s">
        <v>6</v>
      </c>
      <c r="B2" s="1" t="s">
        <v>482</v>
      </c>
      <c r="D2" s="2">
        <v>45965</v>
      </c>
      <c r="E2" s="1">
        <v>200</v>
      </c>
      <c r="F2" s="1" t="s">
        <v>6</v>
      </c>
      <c r="K2" s="6">
        <f t="shared" ref="K2" si="0">E2+G2</f>
        <v>200</v>
      </c>
      <c r="L2" s="1" t="str">
        <f>IF(C2="V",1,IF(C2="X",0,""))</f>
        <v/>
      </c>
      <c r="M2" s="1">
        <v>1</v>
      </c>
    </row>
    <row r="3" spans="1:14" x14ac:dyDescent="0.45">
      <c r="A3" s="1" t="s">
        <v>6</v>
      </c>
      <c r="B3" s="1" t="s">
        <v>478</v>
      </c>
      <c r="D3" s="2">
        <v>45965</v>
      </c>
      <c r="E3" s="1">
        <v>174</v>
      </c>
      <c r="F3" s="1" t="s">
        <v>6</v>
      </c>
      <c r="K3" s="6">
        <f t="shared" ref="K3" si="1">E3+G3</f>
        <v>174</v>
      </c>
      <c r="L3" s="1" t="str">
        <f t="shared" ref="L3:L66" si="2">IF(C3="V",1,IF(C3="X",0,""))</f>
        <v/>
      </c>
      <c r="M3" s="1">
        <v>1</v>
      </c>
    </row>
    <row r="4" spans="1:14" x14ac:dyDescent="0.45">
      <c r="A4" s="1" t="s">
        <v>6</v>
      </c>
      <c r="B4" s="1" t="s">
        <v>7</v>
      </c>
      <c r="D4" s="2">
        <v>45952</v>
      </c>
      <c r="E4" s="1">
        <f>480/3</f>
        <v>160</v>
      </c>
      <c r="F4" s="1" t="s">
        <v>6</v>
      </c>
      <c r="J4" s="1" t="s">
        <v>15</v>
      </c>
      <c r="K4" s="6">
        <f t="shared" ref="K4:K70" si="3">E4+G4</f>
        <v>160</v>
      </c>
      <c r="L4" s="1" t="str">
        <f t="shared" si="2"/>
        <v/>
      </c>
      <c r="M4" s="1">
        <v>1</v>
      </c>
    </row>
    <row r="5" spans="1:14" x14ac:dyDescent="0.45">
      <c r="A5" s="1" t="s">
        <v>6</v>
      </c>
      <c r="B5" s="1" t="s">
        <v>8</v>
      </c>
      <c r="D5" s="2">
        <v>45952</v>
      </c>
      <c r="E5" s="1">
        <f>480/3</f>
        <v>160</v>
      </c>
      <c r="F5" s="1" t="s">
        <v>6</v>
      </c>
      <c r="J5" s="1" t="s">
        <v>15</v>
      </c>
      <c r="K5" s="6">
        <f t="shared" si="3"/>
        <v>160</v>
      </c>
      <c r="L5" s="1" t="str">
        <f t="shared" si="2"/>
        <v/>
      </c>
      <c r="M5" s="1">
        <v>1</v>
      </c>
    </row>
    <row r="6" spans="1:14" x14ac:dyDescent="0.45">
      <c r="A6" s="1" t="s">
        <v>6</v>
      </c>
      <c r="B6" s="1" t="s">
        <v>9</v>
      </c>
      <c r="D6" s="2">
        <v>45952</v>
      </c>
      <c r="E6" s="1">
        <f>480/3</f>
        <v>160</v>
      </c>
      <c r="F6" s="1" t="s">
        <v>6</v>
      </c>
      <c r="J6" s="1" t="s">
        <v>15</v>
      </c>
      <c r="K6" s="6">
        <f t="shared" si="3"/>
        <v>160</v>
      </c>
      <c r="L6" s="1" t="str">
        <f t="shared" si="2"/>
        <v/>
      </c>
      <c r="M6" s="1">
        <v>1</v>
      </c>
    </row>
    <row r="7" spans="1:14" x14ac:dyDescent="0.45">
      <c r="A7" s="1" t="s">
        <v>6</v>
      </c>
      <c r="B7" s="1" t="s">
        <v>12</v>
      </c>
      <c r="D7" s="2">
        <v>45952</v>
      </c>
      <c r="E7" s="1">
        <v>149</v>
      </c>
      <c r="F7" s="1" t="s">
        <v>6</v>
      </c>
      <c r="J7" s="1" t="s">
        <v>15</v>
      </c>
      <c r="K7" s="6">
        <f t="shared" si="3"/>
        <v>149</v>
      </c>
      <c r="L7" s="1" t="str">
        <f t="shared" si="2"/>
        <v/>
      </c>
      <c r="M7" s="1">
        <v>1</v>
      </c>
    </row>
    <row r="8" spans="1:14" x14ac:dyDescent="0.45">
      <c r="A8" s="1" t="s">
        <v>6</v>
      </c>
      <c r="B8" s="1" t="s">
        <v>13</v>
      </c>
      <c r="C8" s="1" t="s">
        <v>118</v>
      </c>
      <c r="D8" s="2">
        <v>45952</v>
      </c>
      <c r="E8" s="3">
        <f>443/2</f>
        <v>221.5</v>
      </c>
      <c r="F8" s="1" t="s">
        <v>6</v>
      </c>
      <c r="G8" s="3">
        <f>-499/2</f>
        <v>-249.5</v>
      </c>
      <c r="H8" s="2">
        <v>46055</v>
      </c>
      <c r="I8" s="2">
        <v>45973</v>
      </c>
      <c r="J8" s="1" t="s">
        <v>15</v>
      </c>
      <c r="K8" s="6">
        <f t="shared" si="3"/>
        <v>-28</v>
      </c>
      <c r="L8" s="1">
        <f t="shared" si="2"/>
        <v>1</v>
      </c>
      <c r="M8" s="1">
        <v>1</v>
      </c>
    </row>
    <row r="9" spans="1:14" x14ac:dyDescent="0.45">
      <c r="A9" s="1" t="s">
        <v>6</v>
      </c>
      <c r="B9" s="1" t="s">
        <v>14</v>
      </c>
      <c r="C9" s="1" t="s">
        <v>508</v>
      </c>
      <c r="D9" s="2">
        <v>45952</v>
      </c>
      <c r="E9" s="3">
        <f>443/2</f>
        <v>221.5</v>
      </c>
      <c r="F9" s="1" t="s">
        <v>6</v>
      </c>
      <c r="G9" s="3">
        <f>-499/2</f>
        <v>-249.5</v>
      </c>
      <c r="H9" s="2">
        <v>46055</v>
      </c>
      <c r="I9" s="2">
        <v>45972</v>
      </c>
      <c r="J9" s="1" t="s">
        <v>15</v>
      </c>
      <c r="K9" s="6">
        <f t="shared" si="3"/>
        <v>-28</v>
      </c>
      <c r="L9" s="1">
        <f t="shared" si="2"/>
        <v>1</v>
      </c>
      <c r="M9" s="1">
        <v>1</v>
      </c>
    </row>
    <row r="10" spans="1:14" x14ac:dyDescent="0.45">
      <c r="A10" s="1" t="s">
        <v>6</v>
      </c>
      <c r="B10" s="1" t="s">
        <v>16</v>
      </c>
      <c r="C10" s="2" t="s">
        <v>118</v>
      </c>
      <c r="D10" s="2">
        <v>45951</v>
      </c>
      <c r="E10" s="1">
        <v>164</v>
      </c>
      <c r="F10" s="1" t="s">
        <v>6</v>
      </c>
      <c r="G10" s="1">
        <v>-269</v>
      </c>
      <c r="H10" s="2">
        <v>46096</v>
      </c>
      <c r="I10" s="2">
        <v>45954</v>
      </c>
      <c r="J10" s="1" t="s">
        <v>18</v>
      </c>
      <c r="K10" s="6">
        <f t="shared" si="3"/>
        <v>-105</v>
      </c>
      <c r="L10" s="1">
        <f t="shared" si="2"/>
        <v>1</v>
      </c>
      <c r="M10" s="1">
        <v>1</v>
      </c>
    </row>
    <row r="11" spans="1:14" x14ac:dyDescent="0.45">
      <c r="A11" s="1" t="s">
        <v>6</v>
      </c>
      <c r="B11" s="1" t="s">
        <v>19</v>
      </c>
      <c r="D11" s="2">
        <v>45951</v>
      </c>
      <c r="E11" s="1">
        <f>187</f>
        <v>187</v>
      </c>
      <c r="F11" s="1" t="s">
        <v>6</v>
      </c>
      <c r="J11" s="1" t="s">
        <v>18</v>
      </c>
      <c r="K11" s="6">
        <f t="shared" si="3"/>
        <v>187</v>
      </c>
      <c r="L11" s="1" t="str">
        <f t="shared" si="2"/>
        <v/>
      </c>
      <c r="M11" s="1">
        <v>1</v>
      </c>
    </row>
    <row r="12" spans="1:14" x14ac:dyDescent="0.45">
      <c r="A12" s="1" t="s">
        <v>6</v>
      </c>
      <c r="B12" s="1" t="s">
        <v>20</v>
      </c>
      <c r="D12" s="2">
        <v>45951</v>
      </c>
      <c r="E12" s="1">
        <v>187</v>
      </c>
      <c r="F12" s="1" t="s">
        <v>6</v>
      </c>
      <c r="J12" s="1" t="s">
        <v>17</v>
      </c>
      <c r="K12" s="6">
        <f t="shared" si="3"/>
        <v>187</v>
      </c>
      <c r="L12" s="1" t="str">
        <f t="shared" si="2"/>
        <v/>
      </c>
      <c r="M12" s="1">
        <v>1</v>
      </c>
    </row>
    <row r="13" spans="1:14" x14ac:dyDescent="0.45">
      <c r="A13" s="1" t="s">
        <v>6</v>
      </c>
      <c r="B13" s="1" t="s">
        <v>21</v>
      </c>
      <c r="C13" s="1" t="s">
        <v>559</v>
      </c>
      <c r="D13" s="2">
        <v>45951</v>
      </c>
      <c r="E13" s="1">
        <f>262/2</f>
        <v>131</v>
      </c>
      <c r="F13" s="1" t="s">
        <v>6</v>
      </c>
      <c r="I13" s="2">
        <v>46011</v>
      </c>
      <c r="J13" s="1" t="s">
        <v>17</v>
      </c>
      <c r="K13" s="6">
        <f t="shared" si="3"/>
        <v>131</v>
      </c>
      <c r="L13" s="1">
        <f t="shared" si="2"/>
        <v>1</v>
      </c>
      <c r="M13" s="1">
        <v>1</v>
      </c>
    </row>
    <row r="14" spans="1:14" x14ac:dyDescent="0.45">
      <c r="A14" s="1" t="s">
        <v>6</v>
      </c>
      <c r="B14" s="1" t="s">
        <v>22</v>
      </c>
      <c r="C14" s="1" t="s">
        <v>559</v>
      </c>
      <c r="D14" s="2">
        <v>45951</v>
      </c>
      <c r="E14" s="1">
        <f>262/2</f>
        <v>131</v>
      </c>
      <c r="F14" s="1" t="s">
        <v>6</v>
      </c>
      <c r="I14" s="2">
        <v>46011</v>
      </c>
      <c r="J14" s="1" t="s">
        <v>17</v>
      </c>
      <c r="K14" s="6">
        <f t="shared" si="3"/>
        <v>131</v>
      </c>
      <c r="L14" s="1">
        <f t="shared" si="2"/>
        <v>1</v>
      </c>
      <c r="M14" s="1">
        <v>1</v>
      </c>
    </row>
    <row r="15" spans="1:14" x14ac:dyDescent="0.45">
      <c r="A15" s="1" t="s">
        <v>6</v>
      </c>
      <c r="B15" s="1" t="s">
        <v>34</v>
      </c>
      <c r="D15" s="2">
        <v>45931</v>
      </c>
      <c r="E15" s="1">
        <v>215</v>
      </c>
      <c r="F15" s="1" t="s">
        <v>6</v>
      </c>
      <c r="J15" s="1" t="s">
        <v>35</v>
      </c>
      <c r="K15" s="6">
        <f t="shared" si="3"/>
        <v>215</v>
      </c>
      <c r="L15" s="1" t="str">
        <f t="shared" si="2"/>
        <v/>
      </c>
      <c r="M15" s="1">
        <v>1</v>
      </c>
    </row>
    <row r="16" spans="1:14" x14ac:dyDescent="0.45">
      <c r="A16" s="1" t="s">
        <v>6</v>
      </c>
      <c r="B16" s="1" t="s">
        <v>212</v>
      </c>
      <c r="D16" s="2">
        <v>45817</v>
      </c>
      <c r="E16" s="3">
        <f>846/5</f>
        <v>169.2</v>
      </c>
      <c r="F16" s="1" t="s">
        <v>6</v>
      </c>
      <c r="K16" s="6">
        <f t="shared" si="3"/>
        <v>169.2</v>
      </c>
      <c r="L16" s="1" t="str">
        <f t="shared" si="2"/>
        <v/>
      </c>
      <c r="M16" s="1">
        <v>1</v>
      </c>
    </row>
    <row r="17" spans="1:13" x14ac:dyDescent="0.45">
      <c r="A17" s="1" t="s">
        <v>6</v>
      </c>
      <c r="B17" s="1" t="s">
        <v>213</v>
      </c>
      <c r="D17" s="2">
        <v>45817</v>
      </c>
      <c r="E17" s="3">
        <f t="shared" ref="E17:E20" si="4">846/5</f>
        <v>169.2</v>
      </c>
      <c r="F17" s="1" t="s">
        <v>6</v>
      </c>
      <c r="K17" s="6">
        <f t="shared" si="3"/>
        <v>169.2</v>
      </c>
      <c r="L17" s="1" t="str">
        <f t="shared" si="2"/>
        <v/>
      </c>
      <c r="M17" s="1">
        <v>1</v>
      </c>
    </row>
    <row r="18" spans="1:13" x14ac:dyDescent="0.45">
      <c r="A18" s="1" t="s">
        <v>6</v>
      </c>
      <c r="B18" s="1" t="s">
        <v>214</v>
      </c>
      <c r="D18" s="2">
        <v>45817</v>
      </c>
      <c r="E18" s="3">
        <f t="shared" si="4"/>
        <v>169.2</v>
      </c>
      <c r="F18" s="1" t="s">
        <v>6</v>
      </c>
      <c r="K18" s="6">
        <f t="shared" si="3"/>
        <v>169.2</v>
      </c>
      <c r="L18" s="1" t="str">
        <f t="shared" si="2"/>
        <v/>
      </c>
      <c r="M18" s="1">
        <v>1</v>
      </c>
    </row>
    <row r="19" spans="1:13" x14ac:dyDescent="0.45">
      <c r="A19" s="1" t="s">
        <v>6</v>
      </c>
      <c r="B19" s="1" t="s">
        <v>215</v>
      </c>
      <c r="D19" s="2">
        <v>45817</v>
      </c>
      <c r="E19" s="3">
        <f t="shared" si="4"/>
        <v>169.2</v>
      </c>
      <c r="F19" s="1" t="s">
        <v>6</v>
      </c>
      <c r="K19" s="6">
        <f t="shared" si="3"/>
        <v>169.2</v>
      </c>
      <c r="L19" s="1" t="str">
        <f t="shared" si="2"/>
        <v/>
      </c>
      <c r="M19" s="1">
        <v>1</v>
      </c>
    </row>
    <row r="20" spans="1:13" x14ac:dyDescent="0.45">
      <c r="A20" s="1" t="s">
        <v>6</v>
      </c>
      <c r="B20" s="1" t="s">
        <v>216</v>
      </c>
      <c r="D20" s="2">
        <v>45817</v>
      </c>
      <c r="E20" s="3">
        <f t="shared" si="4"/>
        <v>169.2</v>
      </c>
      <c r="F20" s="1" t="s">
        <v>6</v>
      </c>
      <c r="K20" s="6">
        <f t="shared" si="3"/>
        <v>169.2</v>
      </c>
      <c r="L20" s="1" t="str">
        <f t="shared" si="2"/>
        <v/>
      </c>
      <c r="M20" s="1">
        <v>1</v>
      </c>
    </row>
    <row r="21" spans="1:13" x14ac:dyDescent="0.45">
      <c r="A21" s="1" t="s">
        <v>6</v>
      </c>
      <c r="B21" s="1" t="s">
        <v>36</v>
      </c>
      <c r="D21" s="2">
        <v>45755</v>
      </c>
      <c r="E21" s="1">
        <v>183</v>
      </c>
      <c r="F21" s="1" t="s">
        <v>6</v>
      </c>
      <c r="K21" s="6">
        <f t="shared" si="3"/>
        <v>183</v>
      </c>
      <c r="L21" s="1" t="str">
        <f t="shared" si="2"/>
        <v/>
      </c>
      <c r="M21" s="1">
        <v>1</v>
      </c>
    </row>
    <row r="22" spans="1:13" x14ac:dyDescent="0.45">
      <c r="A22" s="1" t="s">
        <v>6</v>
      </c>
      <c r="B22" s="1" t="s">
        <v>37</v>
      </c>
      <c r="D22" s="2">
        <v>45755</v>
      </c>
      <c r="E22" s="1">
        <v>183</v>
      </c>
      <c r="F22" s="1" t="s">
        <v>6</v>
      </c>
      <c r="K22" s="6">
        <f t="shared" si="3"/>
        <v>183</v>
      </c>
      <c r="L22" s="1" t="str">
        <f t="shared" si="2"/>
        <v/>
      </c>
      <c r="M22" s="1">
        <v>1</v>
      </c>
    </row>
    <row r="23" spans="1:13" x14ac:dyDescent="0.45">
      <c r="A23" s="1" t="s">
        <v>6</v>
      </c>
      <c r="B23" s="1" t="s">
        <v>38</v>
      </c>
      <c r="D23" s="2">
        <v>45755</v>
      </c>
      <c r="E23" s="1">
        <v>184</v>
      </c>
      <c r="F23" s="1" t="s">
        <v>6</v>
      </c>
      <c r="K23" s="6">
        <f t="shared" si="3"/>
        <v>184</v>
      </c>
      <c r="L23" s="1" t="str">
        <f t="shared" si="2"/>
        <v/>
      </c>
      <c r="M23" s="1">
        <v>1</v>
      </c>
    </row>
    <row r="24" spans="1:13" x14ac:dyDescent="0.45">
      <c r="A24" s="1" t="s">
        <v>6</v>
      </c>
      <c r="B24" s="1" t="s">
        <v>39</v>
      </c>
      <c r="D24" s="2">
        <v>45755</v>
      </c>
      <c r="E24" s="1">
        <v>185</v>
      </c>
      <c r="F24" s="1" t="s">
        <v>6</v>
      </c>
      <c r="K24" s="6">
        <f t="shared" si="3"/>
        <v>185</v>
      </c>
      <c r="L24" s="1" t="str">
        <f t="shared" si="2"/>
        <v/>
      </c>
      <c r="M24" s="1">
        <v>1</v>
      </c>
    </row>
    <row r="25" spans="1:13" x14ac:dyDescent="0.45">
      <c r="A25" s="1" t="s">
        <v>6</v>
      </c>
      <c r="B25" s="1" t="s">
        <v>40</v>
      </c>
      <c r="D25" s="2">
        <v>45755</v>
      </c>
      <c r="E25" s="1">
        <v>185</v>
      </c>
      <c r="F25" s="1" t="s">
        <v>6</v>
      </c>
      <c r="K25" s="6">
        <f t="shared" si="3"/>
        <v>185</v>
      </c>
      <c r="L25" s="1" t="str">
        <f t="shared" si="2"/>
        <v/>
      </c>
      <c r="M25" s="1">
        <v>1</v>
      </c>
    </row>
    <row r="26" spans="1:13" x14ac:dyDescent="0.45">
      <c r="A26" s="1" t="s">
        <v>6</v>
      </c>
      <c r="B26" s="1" t="s">
        <v>44</v>
      </c>
      <c r="D26" s="2">
        <v>45755</v>
      </c>
      <c r="E26" s="1">
        <v>185</v>
      </c>
      <c r="F26" s="1" t="s">
        <v>6</v>
      </c>
      <c r="K26" s="6">
        <f t="shared" si="3"/>
        <v>185</v>
      </c>
      <c r="L26" s="1" t="str">
        <f t="shared" si="2"/>
        <v/>
      </c>
      <c r="M26" s="1">
        <v>1</v>
      </c>
    </row>
    <row r="27" spans="1:13" x14ac:dyDescent="0.45">
      <c r="A27" s="1" t="s">
        <v>6</v>
      </c>
      <c r="B27" s="1" t="s">
        <v>42</v>
      </c>
      <c r="C27" s="1" t="s">
        <v>118</v>
      </c>
      <c r="D27" s="2">
        <v>45755</v>
      </c>
      <c r="E27" s="1">
        <f>422/2</f>
        <v>211</v>
      </c>
      <c r="F27" s="1" t="s">
        <v>6</v>
      </c>
      <c r="G27" s="3">
        <f>-419/2</f>
        <v>-209.5</v>
      </c>
      <c r="H27" s="2">
        <v>45973</v>
      </c>
      <c r="K27" s="6">
        <f t="shared" si="3"/>
        <v>1.5</v>
      </c>
      <c r="L27" s="1">
        <f t="shared" si="2"/>
        <v>1</v>
      </c>
      <c r="M27" s="1">
        <v>1</v>
      </c>
    </row>
    <row r="28" spans="1:13" x14ac:dyDescent="0.45">
      <c r="A28" s="1" t="s">
        <v>6</v>
      </c>
      <c r="B28" s="1" t="s">
        <v>41</v>
      </c>
      <c r="C28" s="1" t="s">
        <v>118</v>
      </c>
      <c r="D28" s="2">
        <v>45755</v>
      </c>
      <c r="E28" s="1">
        <f>422/2</f>
        <v>211</v>
      </c>
      <c r="F28" s="1" t="s">
        <v>6</v>
      </c>
      <c r="G28" s="3">
        <f>-419/2</f>
        <v>-209.5</v>
      </c>
      <c r="H28" s="2">
        <v>45973</v>
      </c>
      <c r="K28" s="6">
        <f t="shared" si="3"/>
        <v>1.5</v>
      </c>
      <c r="L28" s="1">
        <f t="shared" si="2"/>
        <v>1</v>
      </c>
      <c r="M28" s="1">
        <v>1</v>
      </c>
    </row>
    <row r="29" spans="1:13" x14ac:dyDescent="0.45">
      <c r="A29" s="1" t="s">
        <v>6</v>
      </c>
      <c r="B29" s="1" t="s">
        <v>43</v>
      </c>
      <c r="C29" s="1" t="s">
        <v>118</v>
      </c>
      <c r="D29" s="2">
        <v>45755</v>
      </c>
      <c r="E29" s="1">
        <v>174</v>
      </c>
      <c r="F29" s="1" t="s">
        <v>6</v>
      </c>
      <c r="I29" s="2">
        <v>45942</v>
      </c>
      <c r="K29" s="6">
        <f t="shared" si="3"/>
        <v>174</v>
      </c>
      <c r="L29" s="1">
        <f t="shared" si="2"/>
        <v>1</v>
      </c>
      <c r="M29" s="1">
        <v>1</v>
      </c>
    </row>
    <row r="30" spans="1:13" x14ac:dyDescent="0.45">
      <c r="A30" s="1" t="s">
        <v>6</v>
      </c>
      <c r="B30" s="1" t="s">
        <v>45</v>
      </c>
      <c r="C30" s="1" t="s">
        <v>118</v>
      </c>
      <c r="D30" s="2">
        <v>45755</v>
      </c>
      <c r="E30" s="1">
        <v>158</v>
      </c>
      <c r="F30" s="1" t="s">
        <v>6</v>
      </c>
      <c r="G30" s="3">
        <f>-496/3</f>
        <v>-165.33333333333334</v>
      </c>
      <c r="H30" s="2">
        <v>45922</v>
      </c>
      <c r="K30" s="6">
        <f t="shared" si="3"/>
        <v>-7.3333333333333428</v>
      </c>
      <c r="L30" s="1">
        <f t="shared" si="2"/>
        <v>1</v>
      </c>
      <c r="M30" s="1">
        <v>1</v>
      </c>
    </row>
    <row r="31" spans="1:13" x14ac:dyDescent="0.45">
      <c r="A31" s="1" t="s">
        <v>6</v>
      </c>
      <c r="B31" s="1" t="s">
        <v>46</v>
      </c>
      <c r="C31" s="1" t="s">
        <v>118</v>
      </c>
      <c r="D31" s="2">
        <v>45755</v>
      </c>
      <c r="E31" s="1">
        <v>158</v>
      </c>
      <c r="F31" s="1" t="s">
        <v>6</v>
      </c>
      <c r="G31" s="3">
        <f t="shared" ref="G31:G32" si="5">-496/3</f>
        <v>-165.33333333333334</v>
      </c>
      <c r="H31" s="2">
        <v>45922</v>
      </c>
      <c r="K31" s="6">
        <f t="shared" si="3"/>
        <v>-7.3333333333333428</v>
      </c>
      <c r="L31" s="1">
        <f t="shared" si="2"/>
        <v>1</v>
      </c>
      <c r="M31" s="1">
        <v>1</v>
      </c>
    </row>
    <row r="32" spans="1:13" x14ac:dyDescent="0.45">
      <c r="A32" s="1" t="s">
        <v>6</v>
      </c>
      <c r="B32" s="1" t="s">
        <v>47</v>
      </c>
      <c r="C32" s="1" t="s">
        <v>118</v>
      </c>
      <c r="D32" s="2">
        <v>45755</v>
      </c>
      <c r="E32" s="1">
        <v>170</v>
      </c>
      <c r="F32" s="1" t="s">
        <v>6</v>
      </c>
      <c r="G32" s="3">
        <f t="shared" si="5"/>
        <v>-165.33333333333334</v>
      </c>
      <c r="H32" s="2">
        <v>45922</v>
      </c>
      <c r="K32" s="6">
        <f t="shared" si="3"/>
        <v>4.6666666666666572</v>
      </c>
      <c r="L32" s="1">
        <f t="shared" si="2"/>
        <v>1</v>
      </c>
      <c r="M32" s="1">
        <v>1</v>
      </c>
    </row>
    <row r="33" spans="1:13" x14ac:dyDescent="0.45">
      <c r="A33" s="1" t="s">
        <v>6</v>
      </c>
      <c r="B33" s="1" t="s">
        <v>48</v>
      </c>
      <c r="D33" s="2">
        <v>45755</v>
      </c>
      <c r="E33" s="3">
        <f>530/3</f>
        <v>176.66666666666666</v>
      </c>
      <c r="F33" s="1" t="s">
        <v>6</v>
      </c>
      <c r="K33" s="6">
        <f t="shared" si="3"/>
        <v>176.66666666666666</v>
      </c>
      <c r="L33" s="1" t="str">
        <f t="shared" si="2"/>
        <v/>
      </c>
      <c r="M33" s="1">
        <v>1</v>
      </c>
    </row>
    <row r="34" spans="1:13" x14ac:dyDescent="0.45">
      <c r="A34" s="1" t="s">
        <v>6</v>
      </c>
      <c r="B34" s="1" t="s">
        <v>49</v>
      </c>
      <c r="D34" s="2">
        <v>45755</v>
      </c>
      <c r="E34" s="3">
        <f t="shared" ref="E34:E35" si="6">530/3</f>
        <v>176.66666666666666</v>
      </c>
      <c r="F34" s="1" t="s">
        <v>6</v>
      </c>
      <c r="K34" s="6">
        <f t="shared" si="3"/>
        <v>176.66666666666666</v>
      </c>
      <c r="L34" s="1" t="str">
        <f t="shared" si="2"/>
        <v/>
      </c>
      <c r="M34" s="1">
        <v>1</v>
      </c>
    </row>
    <row r="35" spans="1:13" x14ac:dyDescent="0.45">
      <c r="A35" s="1" t="s">
        <v>6</v>
      </c>
      <c r="B35" s="1" t="s">
        <v>50</v>
      </c>
      <c r="D35" s="2">
        <v>45755</v>
      </c>
      <c r="E35" s="3">
        <f t="shared" si="6"/>
        <v>176.66666666666666</v>
      </c>
      <c r="F35" s="1" t="s">
        <v>6</v>
      </c>
      <c r="K35" s="6">
        <f t="shared" si="3"/>
        <v>176.66666666666666</v>
      </c>
      <c r="L35" s="1" t="str">
        <f t="shared" si="2"/>
        <v/>
      </c>
      <c r="M35" s="1">
        <v>1</v>
      </c>
    </row>
    <row r="36" spans="1:13" x14ac:dyDescent="0.45">
      <c r="A36" s="1" t="s">
        <v>6</v>
      </c>
      <c r="B36" s="1" t="s">
        <v>51</v>
      </c>
      <c r="C36" s="1" t="s">
        <v>497</v>
      </c>
      <c r="D36" s="2">
        <v>45755</v>
      </c>
      <c r="E36" s="1">
        <v>151</v>
      </c>
      <c r="F36" s="1" t="s">
        <v>6</v>
      </c>
      <c r="G36" s="3">
        <f>-454/3</f>
        <v>-151.33333333333334</v>
      </c>
      <c r="H36" s="2">
        <v>45994</v>
      </c>
      <c r="I36" s="2">
        <v>45969</v>
      </c>
      <c r="K36" s="6">
        <f t="shared" si="3"/>
        <v>-0.33333333333334281</v>
      </c>
      <c r="L36" s="1">
        <f t="shared" si="2"/>
        <v>1</v>
      </c>
      <c r="M36" s="1">
        <v>1</v>
      </c>
    </row>
    <row r="37" spans="1:13" x14ac:dyDescent="0.45">
      <c r="A37" s="1" t="s">
        <v>6</v>
      </c>
      <c r="B37" s="1" t="s">
        <v>52</v>
      </c>
      <c r="C37" s="1" t="s">
        <v>500</v>
      </c>
      <c r="D37" s="2">
        <v>45755</v>
      </c>
      <c r="E37" s="1">
        <v>151</v>
      </c>
      <c r="F37" s="1" t="s">
        <v>6</v>
      </c>
      <c r="G37" s="3">
        <f t="shared" ref="G37:G38" si="7">-454/3</f>
        <v>-151.33333333333334</v>
      </c>
      <c r="H37" s="2">
        <v>45994</v>
      </c>
      <c r="I37" s="2">
        <v>45970</v>
      </c>
      <c r="K37" s="6">
        <f t="shared" si="3"/>
        <v>-0.33333333333334281</v>
      </c>
      <c r="L37" s="1">
        <f t="shared" si="2"/>
        <v>1</v>
      </c>
      <c r="M37" s="1">
        <v>1</v>
      </c>
    </row>
    <row r="38" spans="1:13" x14ac:dyDescent="0.45">
      <c r="A38" s="1" t="s">
        <v>6</v>
      </c>
      <c r="B38" s="1" t="s">
        <v>388</v>
      </c>
      <c r="C38" s="1" t="s">
        <v>118</v>
      </c>
      <c r="D38" s="2">
        <v>45755</v>
      </c>
      <c r="E38" s="1">
        <v>151</v>
      </c>
      <c r="F38" s="1" t="s">
        <v>6</v>
      </c>
      <c r="G38" s="3">
        <f t="shared" si="7"/>
        <v>-151.33333333333334</v>
      </c>
      <c r="H38" s="2">
        <v>45994</v>
      </c>
      <c r="I38" s="2">
        <v>45971</v>
      </c>
      <c r="K38" s="6">
        <f t="shared" si="3"/>
        <v>-0.33333333333334281</v>
      </c>
      <c r="L38" s="1">
        <f t="shared" si="2"/>
        <v>1</v>
      </c>
      <c r="M38" s="1">
        <v>1</v>
      </c>
    </row>
    <row r="39" spans="1:13" x14ac:dyDescent="0.45">
      <c r="A39" s="1" t="s">
        <v>6</v>
      </c>
      <c r="B39" s="1" t="s">
        <v>53</v>
      </c>
      <c r="D39" s="2">
        <v>45728</v>
      </c>
      <c r="E39" s="1">
        <v>220</v>
      </c>
      <c r="F39" s="1" t="s">
        <v>6</v>
      </c>
      <c r="K39" s="6">
        <f t="shared" si="3"/>
        <v>220</v>
      </c>
      <c r="L39" s="1" t="str">
        <f t="shared" si="2"/>
        <v/>
      </c>
      <c r="M39" s="1">
        <v>1</v>
      </c>
    </row>
    <row r="40" spans="1:13" x14ac:dyDescent="0.45">
      <c r="A40" s="1" t="s">
        <v>6</v>
      </c>
      <c r="B40" s="1" t="s">
        <v>363</v>
      </c>
      <c r="C40" s="1" t="s">
        <v>118</v>
      </c>
      <c r="D40" s="2">
        <v>45728</v>
      </c>
      <c r="E40" s="3">
        <f>529/3</f>
        <v>176.33333333333334</v>
      </c>
      <c r="F40" s="1" t="s">
        <v>6</v>
      </c>
      <c r="G40" s="3">
        <f>-535/3</f>
        <v>-178.33333333333334</v>
      </c>
      <c r="H40" s="2">
        <v>45961</v>
      </c>
      <c r="K40" s="6">
        <f t="shared" si="3"/>
        <v>-2</v>
      </c>
      <c r="L40" s="1">
        <f t="shared" si="2"/>
        <v>1</v>
      </c>
      <c r="M40" s="1">
        <v>1</v>
      </c>
    </row>
    <row r="41" spans="1:13" x14ac:dyDescent="0.45">
      <c r="A41" s="1" t="s">
        <v>6</v>
      </c>
      <c r="B41" s="1" t="s">
        <v>364</v>
      </c>
      <c r="C41" s="1" t="s">
        <v>118</v>
      </c>
      <c r="D41" s="2">
        <v>45728</v>
      </c>
      <c r="E41" s="3">
        <f t="shared" ref="E41:E42" si="8">529/3</f>
        <v>176.33333333333334</v>
      </c>
      <c r="F41" s="1" t="s">
        <v>6</v>
      </c>
      <c r="G41" s="3">
        <f t="shared" ref="G41:G42" si="9">-535/3</f>
        <v>-178.33333333333334</v>
      </c>
      <c r="H41" s="2">
        <v>45961</v>
      </c>
      <c r="K41" s="6">
        <f t="shared" si="3"/>
        <v>-2</v>
      </c>
      <c r="L41" s="1">
        <f t="shared" si="2"/>
        <v>1</v>
      </c>
      <c r="M41" s="1">
        <v>1</v>
      </c>
    </row>
    <row r="42" spans="1:13" x14ac:dyDescent="0.45">
      <c r="A42" s="1" t="s">
        <v>6</v>
      </c>
      <c r="B42" s="1" t="s">
        <v>365</v>
      </c>
      <c r="C42" s="1" t="s">
        <v>118</v>
      </c>
      <c r="D42" s="2">
        <v>45728</v>
      </c>
      <c r="E42" s="3">
        <f t="shared" si="8"/>
        <v>176.33333333333334</v>
      </c>
      <c r="F42" s="1" t="s">
        <v>6</v>
      </c>
      <c r="G42" s="3">
        <f t="shared" si="9"/>
        <v>-178.33333333333334</v>
      </c>
      <c r="H42" s="2">
        <v>45961</v>
      </c>
      <c r="K42" s="6">
        <f t="shared" si="3"/>
        <v>-2</v>
      </c>
      <c r="L42" s="1">
        <f t="shared" si="2"/>
        <v>1</v>
      </c>
      <c r="M42" s="1">
        <v>1</v>
      </c>
    </row>
    <row r="43" spans="1:13" x14ac:dyDescent="0.45">
      <c r="A43" s="1" t="s">
        <v>6</v>
      </c>
      <c r="B43" s="1" t="s">
        <v>479</v>
      </c>
      <c r="C43" s="1" t="s">
        <v>592</v>
      </c>
      <c r="D43" s="2">
        <v>45965</v>
      </c>
      <c r="E43" s="1">
        <v>160</v>
      </c>
      <c r="F43" s="1" t="s">
        <v>6</v>
      </c>
      <c r="I43" s="2">
        <v>46033</v>
      </c>
      <c r="K43" s="6">
        <f>E43+G43</f>
        <v>160</v>
      </c>
      <c r="L43" s="1">
        <f t="shared" si="2"/>
        <v>1</v>
      </c>
      <c r="M43" s="1">
        <v>1</v>
      </c>
    </row>
    <row r="44" spans="1:13" x14ac:dyDescent="0.45">
      <c r="A44" s="1" t="s">
        <v>6</v>
      </c>
      <c r="B44" s="1" t="s">
        <v>161</v>
      </c>
      <c r="C44" s="1" t="s">
        <v>118</v>
      </c>
      <c r="D44" s="2">
        <v>45947</v>
      </c>
      <c r="E44" s="1">
        <v>259</v>
      </c>
      <c r="F44" s="1" t="s">
        <v>162</v>
      </c>
      <c r="I44" s="2">
        <v>45942</v>
      </c>
      <c r="K44" s="6">
        <f t="shared" si="3"/>
        <v>259</v>
      </c>
      <c r="L44" s="1">
        <f t="shared" si="2"/>
        <v>1</v>
      </c>
      <c r="M44" s="1">
        <v>1</v>
      </c>
    </row>
    <row r="45" spans="1:13" x14ac:dyDescent="0.45">
      <c r="A45" s="1" t="s">
        <v>6</v>
      </c>
      <c r="B45" s="1" t="s">
        <v>54</v>
      </c>
      <c r="C45" s="1" t="s">
        <v>605</v>
      </c>
      <c r="D45" s="2">
        <v>45728</v>
      </c>
      <c r="E45" s="1">
        <v>202</v>
      </c>
      <c r="F45" s="1" t="s">
        <v>6</v>
      </c>
      <c r="I45" s="2">
        <v>46036</v>
      </c>
      <c r="K45" s="6">
        <f t="shared" ref="K45" si="10">E45+G45</f>
        <v>202</v>
      </c>
      <c r="L45" s="1">
        <f t="shared" si="2"/>
        <v>1</v>
      </c>
      <c r="M45" s="1">
        <v>1</v>
      </c>
    </row>
    <row r="46" spans="1:13" x14ac:dyDescent="0.45">
      <c r="A46" s="1" t="s">
        <v>6</v>
      </c>
      <c r="B46" s="1" t="s">
        <v>481</v>
      </c>
      <c r="C46" s="1" t="s">
        <v>530</v>
      </c>
      <c r="D46" s="2">
        <v>45965</v>
      </c>
      <c r="E46" s="1">
        <v>177</v>
      </c>
      <c r="F46" s="1" t="s">
        <v>6</v>
      </c>
      <c r="I46" s="2">
        <v>45991</v>
      </c>
      <c r="K46" s="6">
        <f t="shared" ref="K46" si="11">E46+G46</f>
        <v>177</v>
      </c>
      <c r="L46" s="1">
        <f t="shared" si="2"/>
        <v>1</v>
      </c>
      <c r="M46" s="1">
        <v>1</v>
      </c>
    </row>
    <row r="47" spans="1:13" x14ac:dyDescent="0.45">
      <c r="A47" s="1" t="s">
        <v>6</v>
      </c>
      <c r="B47" s="1" t="s">
        <v>480</v>
      </c>
      <c r="D47" s="2">
        <v>45965</v>
      </c>
      <c r="E47" s="1">
        <v>131</v>
      </c>
      <c r="F47" s="1" t="s">
        <v>6</v>
      </c>
      <c r="K47" s="6">
        <f t="shared" ref="K47" si="12">E47+G47</f>
        <v>131</v>
      </c>
      <c r="L47" s="1" t="str">
        <f t="shared" si="2"/>
        <v/>
      </c>
      <c r="M47" s="1">
        <v>1</v>
      </c>
    </row>
    <row r="48" spans="1:13" x14ac:dyDescent="0.45">
      <c r="A48" s="1" t="s">
        <v>6</v>
      </c>
      <c r="B48" s="1" t="s">
        <v>55</v>
      </c>
      <c r="C48" s="1" t="s">
        <v>118</v>
      </c>
      <c r="D48" s="2">
        <v>45697</v>
      </c>
      <c r="E48" s="1">
        <v>176</v>
      </c>
      <c r="F48" s="1" t="s">
        <v>6</v>
      </c>
      <c r="I48" s="2">
        <v>45978</v>
      </c>
      <c r="K48" s="6">
        <f t="shared" si="3"/>
        <v>176</v>
      </c>
      <c r="L48" s="1">
        <f t="shared" si="2"/>
        <v>1</v>
      </c>
      <c r="M48" s="1">
        <v>1</v>
      </c>
    </row>
    <row r="49" spans="1:13" x14ac:dyDescent="0.45">
      <c r="A49" s="1" t="s">
        <v>6</v>
      </c>
      <c r="B49" s="1" t="s">
        <v>56</v>
      </c>
      <c r="C49" s="1" t="s">
        <v>118</v>
      </c>
      <c r="D49" s="2">
        <v>45697</v>
      </c>
      <c r="E49" s="1">
        <v>164</v>
      </c>
      <c r="F49" s="1" t="s">
        <v>6</v>
      </c>
      <c r="K49" s="6">
        <f t="shared" si="3"/>
        <v>164</v>
      </c>
      <c r="L49" s="1">
        <f t="shared" si="2"/>
        <v>1</v>
      </c>
      <c r="M49" s="1">
        <v>1</v>
      </c>
    </row>
    <row r="50" spans="1:13" x14ac:dyDescent="0.45">
      <c r="A50" s="1" t="s">
        <v>6</v>
      </c>
      <c r="B50" s="1" t="s">
        <v>57</v>
      </c>
      <c r="D50" s="2">
        <v>45697</v>
      </c>
      <c r="E50" s="1">
        <v>177</v>
      </c>
      <c r="F50" s="1" t="s">
        <v>6</v>
      </c>
      <c r="K50" s="6">
        <f t="shared" si="3"/>
        <v>177</v>
      </c>
      <c r="L50" s="1" t="str">
        <f t="shared" si="2"/>
        <v/>
      </c>
      <c r="M50" s="1">
        <v>1</v>
      </c>
    </row>
    <row r="51" spans="1:13" x14ac:dyDescent="0.45">
      <c r="A51" s="1" t="s">
        <v>6</v>
      </c>
      <c r="B51" s="1" t="s">
        <v>103</v>
      </c>
      <c r="C51" s="1" t="s">
        <v>118</v>
      </c>
      <c r="D51" s="2">
        <v>45601</v>
      </c>
      <c r="E51" s="1">
        <v>102</v>
      </c>
      <c r="F51" s="1" t="s">
        <v>6</v>
      </c>
      <c r="G51" s="1">
        <v>-133</v>
      </c>
      <c r="H51" s="2">
        <v>45946</v>
      </c>
      <c r="I51" s="2"/>
      <c r="K51" s="6">
        <f t="shared" si="3"/>
        <v>-31</v>
      </c>
      <c r="L51" s="1">
        <f t="shared" si="2"/>
        <v>1</v>
      </c>
      <c r="M51" s="1">
        <v>1</v>
      </c>
    </row>
    <row r="52" spans="1:13" x14ac:dyDescent="0.45">
      <c r="A52" s="1" t="s">
        <v>6</v>
      </c>
      <c r="B52" s="1" t="s">
        <v>120</v>
      </c>
      <c r="C52" s="1" t="s">
        <v>118</v>
      </c>
      <c r="D52" s="2">
        <v>45480</v>
      </c>
      <c r="E52" s="3">
        <f>1512/10</f>
        <v>151.19999999999999</v>
      </c>
      <c r="F52" s="1" t="s">
        <v>125</v>
      </c>
      <c r="H52" s="2"/>
      <c r="I52" s="2"/>
      <c r="K52" s="6">
        <f t="shared" si="3"/>
        <v>151.19999999999999</v>
      </c>
      <c r="L52" s="1">
        <f t="shared" si="2"/>
        <v>1</v>
      </c>
      <c r="M52" s="1">
        <v>1</v>
      </c>
    </row>
    <row r="53" spans="1:13" x14ac:dyDescent="0.45">
      <c r="A53" s="1" t="s">
        <v>6</v>
      </c>
      <c r="B53" s="1" t="s">
        <v>121</v>
      </c>
      <c r="C53" s="1" t="s">
        <v>118</v>
      </c>
      <c r="D53" s="2">
        <v>45480</v>
      </c>
      <c r="E53" s="3">
        <f t="shared" ref="E53:E61" si="13">1512/10</f>
        <v>151.19999999999999</v>
      </c>
      <c r="F53" s="1" t="s">
        <v>125</v>
      </c>
      <c r="H53" s="2"/>
      <c r="I53" s="2"/>
      <c r="K53" s="6">
        <f t="shared" si="3"/>
        <v>151.19999999999999</v>
      </c>
      <c r="L53" s="1">
        <f t="shared" si="2"/>
        <v>1</v>
      </c>
      <c r="M53" s="1">
        <v>1</v>
      </c>
    </row>
    <row r="54" spans="1:13" x14ac:dyDescent="0.45">
      <c r="A54" s="1" t="s">
        <v>6</v>
      </c>
      <c r="B54" s="1" t="s">
        <v>122</v>
      </c>
      <c r="C54" s="1" t="s">
        <v>118</v>
      </c>
      <c r="D54" s="2">
        <v>45480</v>
      </c>
      <c r="E54" s="3">
        <f t="shared" si="13"/>
        <v>151.19999999999999</v>
      </c>
      <c r="F54" s="1" t="s">
        <v>125</v>
      </c>
      <c r="H54" s="2"/>
      <c r="I54" s="2"/>
      <c r="K54" s="6">
        <f t="shared" si="3"/>
        <v>151.19999999999999</v>
      </c>
      <c r="L54" s="1">
        <f t="shared" si="2"/>
        <v>1</v>
      </c>
      <c r="M54" s="1">
        <v>1</v>
      </c>
    </row>
    <row r="55" spans="1:13" x14ac:dyDescent="0.45">
      <c r="A55" s="1" t="s">
        <v>6</v>
      </c>
      <c r="B55" s="1" t="s">
        <v>123</v>
      </c>
      <c r="C55" s="1" t="s">
        <v>118</v>
      </c>
      <c r="D55" s="2">
        <v>45480</v>
      </c>
      <c r="E55" s="3">
        <f t="shared" si="13"/>
        <v>151.19999999999999</v>
      </c>
      <c r="F55" s="1" t="s">
        <v>125</v>
      </c>
      <c r="H55" s="2"/>
      <c r="I55" s="2"/>
      <c r="K55" s="6">
        <f t="shared" si="3"/>
        <v>151.19999999999999</v>
      </c>
      <c r="L55" s="1">
        <f t="shared" si="2"/>
        <v>1</v>
      </c>
      <c r="M55" s="1">
        <v>1</v>
      </c>
    </row>
    <row r="56" spans="1:13" x14ac:dyDescent="0.45">
      <c r="A56" s="1" t="s">
        <v>6</v>
      </c>
      <c r="B56" s="1" t="s">
        <v>124</v>
      </c>
      <c r="C56" s="1" t="s">
        <v>118</v>
      </c>
      <c r="D56" s="2">
        <v>45480</v>
      </c>
      <c r="E56" s="3">
        <f t="shared" si="13"/>
        <v>151.19999999999999</v>
      </c>
      <c r="F56" s="1" t="s">
        <v>125</v>
      </c>
      <c r="H56" s="2"/>
      <c r="I56" s="2"/>
      <c r="K56" s="6">
        <f t="shared" si="3"/>
        <v>151.19999999999999</v>
      </c>
      <c r="L56" s="1">
        <f t="shared" si="2"/>
        <v>1</v>
      </c>
      <c r="M56" s="1">
        <v>1</v>
      </c>
    </row>
    <row r="57" spans="1:13" x14ac:dyDescent="0.45">
      <c r="A57" s="1" t="s">
        <v>6</v>
      </c>
      <c r="B57" s="1" t="s">
        <v>87</v>
      </c>
      <c r="C57" s="1" t="s">
        <v>118</v>
      </c>
      <c r="D57" s="2">
        <v>45480</v>
      </c>
      <c r="E57" s="3">
        <f t="shared" si="13"/>
        <v>151.19999999999999</v>
      </c>
      <c r="F57" s="1" t="s">
        <v>125</v>
      </c>
      <c r="K57" s="6">
        <f t="shared" si="3"/>
        <v>151.19999999999999</v>
      </c>
      <c r="L57" s="1">
        <f t="shared" si="2"/>
        <v>1</v>
      </c>
      <c r="M57" s="1">
        <v>1</v>
      </c>
    </row>
    <row r="58" spans="1:13" x14ac:dyDescent="0.45">
      <c r="A58" s="1" t="s">
        <v>6</v>
      </c>
      <c r="B58" s="1" t="s">
        <v>88</v>
      </c>
      <c r="C58" s="1" t="s">
        <v>118</v>
      </c>
      <c r="D58" s="2">
        <v>45480</v>
      </c>
      <c r="E58" s="3">
        <f t="shared" si="13"/>
        <v>151.19999999999999</v>
      </c>
      <c r="F58" s="1" t="s">
        <v>125</v>
      </c>
      <c r="K58" s="6">
        <f t="shared" si="3"/>
        <v>151.19999999999999</v>
      </c>
      <c r="L58" s="1">
        <f t="shared" si="2"/>
        <v>1</v>
      </c>
      <c r="M58" s="1">
        <v>1</v>
      </c>
    </row>
    <row r="59" spans="1:13" x14ac:dyDescent="0.45">
      <c r="A59" s="1" t="s">
        <v>6</v>
      </c>
      <c r="B59" s="1" t="s">
        <v>89</v>
      </c>
      <c r="C59" s="1" t="s">
        <v>118</v>
      </c>
      <c r="D59" s="2">
        <v>45480</v>
      </c>
      <c r="E59" s="3">
        <f t="shared" si="13"/>
        <v>151.19999999999999</v>
      </c>
      <c r="F59" s="1" t="s">
        <v>125</v>
      </c>
      <c r="K59" s="6">
        <f t="shared" si="3"/>
        <v>151.19999999999999</v>
      </c>
      <c r="L59" s="1">
        <f t="shared" si="2"/>
        <v>1</v>
      </c>
      <c r="M59" s="1">
        <v>1</v>
      </c>
    </row>
    <row r="60" spans="1:13" x14ac:dyDescent="0.45">
      <c r="A60" s="1" t="s">
        <v>6</v>
      </c>
      <c r="B60" s="1" t="s">
        <v>90</v>
      </c>
      <c r="C60" s="1" t="s">
        <v>118</v>
      </c>
      <c r="D60" s="2">
        <v>45480</v>
      </c>
      <c r="E60" s="3">
        <f t="shared" si="13"/>
        <v>151.19999999999999</v>
      </c>
      <c r="F60" s="1" t="s">
        <v>125</v>
      </c>
      <c r="K60" s="6">
        <f t="shared" si="3"/>
        <v>151.19999999999999</v>
      </c>
      <c r="L60" s="1">
        <f t="shared" si="2"/>
        <v>1</v>
      </c>
      <c r="M60" s="1">
        <v>1</v>
      </c>
    </row>
    <row r="61" spans="1:13" x14ac:dyDescent="0.45">
      <c r="A61" s="1" t="s">
        <v>6</v>
      </c>
      <c r="B61" s="1" t="s">
        <v>91</v>
      </c>
      <c r="C61" s="1" t="s">
        <v>118</v>
      </c>
      <c r="D61" s="2">
        <v>45480</v>
      </c>
      <c r="E61" s="3">
        <f t="shared" si="13"/>
        <v>151.19999999999999</v>
      </c>
      <c r="F61" s="1" t="s">
        <v>125</v>
      </c>
      <c r="K61" s="6">
        <f t="shared" si="3"/>
        <v>151.19999999999999</v>
      </c>
      <c r="L61" s="1">
        <f t="shared" si="2"/>
        <v>1</v>
      </c>
      <c r="M61" s="1">
        <v>1</v>
      </c>
    </row>
    <row r="62" spans="1:13" x14ac:dyDescent="0.45">
      <c r="A62" s="1" t="s">
        <v>6</v>
      </c>
      <c r="B62" s="1" t="s">
        <v>92</v>
      </c>
      <c r="C62" s="1" t="s">
        <v>118</v>
      </c>
      <c r="D62" s="2">
        <v>45505</v>
      </c>
      <c r="E62" s="3">
        <f>1718/10</f>
        <v>171.8</v>
      </c>
      <c r="F62" s="1" t="s">
        <v>126</v>
      </c>
      <c r="K62" s="6">
        <f t="shared" si="3"/>
        <v>171.8</v>
      </c>
      <c r="L62" s="1">
        <f t="shared" si="2"/>
        <v>1</v>
      </c>
      <c r="M62" s="1">
        <v>1</v>
      </c>
    </row>
    <row r="63" spans="1:13" x14ac:dyDescent="0.45">
      <c r="A63" s="1" t="s">
        <v>6</v>
      </c>
      <c r="B63" s="1" t="s">
        <v>93</v>
      </c>
      <c r="C63" s="1" t="s">
        <v>118</v>
      </c>
      <c r="D63" s="2">
        <v>45505</v>
      </c>
      <c r="E63" s="3">
        <f t="shared" ref="E63:E71" si="14">1718/10</f>
        <v>171.8</v>
      </c>
      <c r="F63" s="1" t="s">
        <v>126</v>
      </c>
      <c r="K63" s="6">
        <f t="shared" si="3"/>
        <v>171.8</v>
      </c>
      <c r="L63" s="1">
        <f t="shared" si="2"/>
        <v>1</v>
      </c>
      <c r="M63" s="1">
        <v>1</v>
      </c>
    </row>
    <row r="64" spans="1:13" x14ac:dyDescent="0.45">
      <c r="A64" s="1" t="s">
        <v>6</v>
      </c>
      <c r="B64" s="1" t="s">
        <v>94</v>
      </c>
      <c r="C64" s="1" t="s">
        <v>118</v>
      </c>
      <c r="D64" s="2">
        <v>45505</v>
      </c>
      <c r="E64" s="3">
        <f t="shared" si="14"/>
        <v>171.8</v>
      </c>
      <c r="F64" s="1" t="s">
        <v>126</v>
      </c>
      <c r="K64" s="6">
        <f t="shared" si="3"/>
        <v>171.8</v>
      </c>
      <c r="L64" s="1">
        <f t="shared" si="2"/>
        <v>1</v>
      </c>
      <c r="M64" s="1">
        <v>1</v>
      </c>
    </row>
    <row r="65" spans="1:13" x14ac:dyDescent="0.45">
      <c r="A65" s="1" t="s">
        <v>6</v>
      </c>
      <c r="B65" s="1" t="s">
        <v>95</v>
      </c>
      <c r="C65" s="1" t="s">
        <v>118</v>
      </c>
      <c r="D65" s="2">
        <v>45505</v>
      </c>
      <c r="E65" s="3">
        <f t="shared" si="14"/>
        <v>171.8</v>
      </c>
      <c r="F65" s="1" t="s">
        <v>126</v>
      </c>
      <c r="K65" s="6">
        <f t="shared" si="3"/>
        <v>171.8</v>
      </c>
      <c r="L65" s="1">
        <f t="shared" si="2"/>
        <v>1</v>
      </c>
      <c r="M65" s="1">
        <v>1</v>
      </c>
    </row>
    <row r="66" spans="1:13" x14ac:dyDescent="0.45">
      <c r="A66" s="1" t="s">
        <v>6</v>
      </c>
      <c r="B66" s="1" t="s">
        <v>96</v>
      </c>
      <c r="C66" s="1" t="s">
        <v>118</v>
      </c>
      <c r="D66" s="2">
        <v>45505</v>
      </c>
      <c r="E66" s="3">
        <f t="shared" si="14"/>
        <v>171.8</v>
      </c>
      <c r="F66" s="1" t="s">
        <v>126</v>
      </c>
      <c r="K66" s="6">
        <f t="shared" si="3"/>
        <v>171.8</v>
      </c>
      <c r="L66" s="1">
        <f t="shared" si="2"/>
        <v>1</v>
      </c>
      <c r="M66" s="1">
        <v>1</v>
      </c>
    </row>
    <row r="67" spans="1:13" x14ac:dyDescent="0.45">
      <c r="A67" s="1" t="s">
        <v>6</v>
      </c>
      <c r="B67" s="1" t="s">
        <v>97</v>
      </c>
      <c r="C67" s="1" t="s">
        <v>118</v>
      </c>
      <c r="D67" s="2">
        <v>45505</v>
      </c>
      <c r="E67" s="3">
        <f t="shared" si="14"/>
        <v>171.8</v>
      </c>
      <c r="F67" s="1" t="s">
        <v>126</v>
      </c>
      <c r="K67" s="6">
        <f t="shared" si="3"/>
        <v>171.8</v>
      </c>
      <c r="L67" s="1">
        <f t="shared" ref="L67:L130" si="15">IF(C67="V",1,IF(C67="X",0,""))</f>
        <v>1</v>
      </c>
      <c r="M67" s="1">
        <v>1</v>
      </c>
    </row>
    <row r="68" spans="1:13" x14ac:dyDescent="0.45">
      <c r="A68" s="1" t="s">
        <v>6</v>
      </c>
      <c r="B68" s="1" t="s">
        <v>98</v>
      </c>
      <c r="C68" s="1" t="s">
        <v>118</v>
      </c>
      <c r="D68" s="2">
        <v>45505</v>
      </c>
      <c r="E68" s="3">
        <f t="shared" si="14"/>
        <v>171.8</v>
      </c>
      <c r="F68" s="1" t="s">
        <v>126</v>
      </c>
      <c r="K68" s="6">
        <f t="shared" si="3"/>
        <v>171.8</v>
      </c>
      <c r="L68" s="1">
        <f t="shared" si="15"/>
        <v>1</v>
      </c>
      <c r="M68" s="1">
        <v>1</v>
      </c>
    </row>
    <row r="69" spans="1:13" x14ac:dyDescent="0.45">
      <c r="A69" s="1" t="s">
        <v>6</v>
      </c>
      <c r="B69" s="1" t="s">
        <v>99</v>
      </c>
      <c r="C69" s="1" t="s">
        <v>118</v>
      </c>
      <c r="D69" s="2">
        <v>45505</v>
      </c>
      <c r="E69" s="3">
        <f t="shared" si="14"/>
        <v>171.8</v>
      </c>
      <c r="F69" s="1" t="s">
        <v>126</v>
      </c>
      <c r="K69" s="6">
        <f t="shared" si="3"/>
        <v>171.8</v>
      </c>
      <c r="L69" s="1">
        <f t="shared" si="15"/>
        <v>1</v>
      </c>
      <c r="M69" s="1">
        <v>1</v>
      </c>
    </row>
    <row r="70" spans="1:13" x14ac:dyDescent="0.45">
      <c r="A70" s="1" t="s">
        <v>6</v>
      </c>
      <c r="B70" s="1" t="s">
        <v>100</v>
      </c>
      <c r="C70" s="1" t="s">
        <v>118</v>
      </c>
      <c r="D70" s="2">
        <v>45505</v>
      </c>
      <c r="E70" s="3">
        <f t="shared" si="14"/>
        <v>171.8</v>
      </c>
      <c r="F70" s="1" t="s">
        <v>126</v>
      </c>
      <c r="K70" s="6">
        <f t="shared" si="3"/>
        <v>171.8</v>
      </c>
      <c r="L70" s="1">
        <f t="shared" si="15"/>
        <v>1</v>
      </c>
      <c r="M70" s="1">
        <v>1</v>
      </c>
    </row>
    <row r="71" spans="1:13" x14ac:dyDescent="0.45">
      <c r="A71" s="1" t="s">
        <v>6</v>
      </c>
      <c r="B71" s="1" t="s">
        <v>101</v>
      </c>
      <c r="C71" s="1" t="s">
        <v>118</v>
      </c>
      <c r="D71" s="2">
        <v>45505</v>
      </c>
      <c r="E71" s="3">
        <f t="shared" si="14"/>
        <v>171.8</v>
      </c>
      <c r="F71" s="1" t="s">
        <v>126</v>
      </c>
      <c r="K71" s="6">
        <f t="shared" ref="K71:K134" si="16">E71+G71</f>
        <v>171.8</v>
      </c>
      <c r="L71" s="1">
        <f t="shared" si="15"/>
        <v>1</v>
      </c>
      <c r="M71" s="1">
        <v>1</v>
      </c>
    </row>
    <row r="72" spans="1:13" x14ac:dyDescent="0.45">
      <c r="A72" s="1" t="s">
        <v>6</v>
      </c>
      <c r="B72" s="1" t="s">
        <v>102</v>
      </c>
      <c r="C72" s="1" t="s">
        <v>118</v>
      </c>
      <c r="D72" s="2">
        <v>45601</v>
      </c>
      <c r="E72" s="1">
        <v>128</v>
      </c>
      <c r="F72" s="1" t="s">
        <v>6</v>
      </c>
      <c r="K72" s="6">
        <f t="shared" si="16"/>
        <v>128</v>
      </c>
      <c r="L72" s="1">
        <f t="shared" si="15"/>
        <v>1</v>
      </c>
      <c r="M72" s="1">
        <v>1</v>
      </c>
    </row>
    <row r="73" spans="1:13" x14ac:dyDescent="0.45">
      <c r="A73" s="1" t="s">
        <v>6</v>
      </c>
      <c r="B73" s="1" t="s">
        <v>79</v>
      </c>
      <c r="C73" s="1" t="s">
        <v>118</v>
      </c>
      <c r="D73" s="2">
        <v>45601</v>
      </c>
      <c r="E73" s="1">
        <v>128</v>
      </c>
      <c r="F73" s="1" t="s">
        <v>6</v>
      </c>
      <c r="K73" s="6">
        <f t="shared" si="16"/>
        <v>128</v>
      </c>
      <c r="L73" s="1">
        <f t="shared" si="15"/>
        <v>1</v>
      </c>
      <c r="M73" s="1">
        <v>1</v>
      </c>
    </row>
    <row r="74" spans="1:13" x14ac:dyDescent="0.45">
      <c r="A74" s="1" t="s">
        <v>6</v>
      </c>
      <c r="B74" s="1" t="s">
        <v>80</v>
      </c>
      <c r="C74" s="1" t="s">
        <v>118</v>
      </c>
      <c r="D74" s="2">
        <v>45601</v>
      </c>
      <c r="E74" s="1">
        <v>127</v>
      </c>
      <c r="F74" s="1" t="s">
        <v>6</v>
      </c>
      <c r="K74" s="6">
        <f t="shared" si="16"/>
        <v>127</v>
      </c>
      <c r="L74" s="1">
        <f t="shared" si="15"/>
        <v>1</v>
      </c>
      <c r="M74" s="1">
        <v>1</v>
      </c>
    </row>
    <row r="75" spans="1:13" x14ac:dyDescent="0.45">
      <c r="A75" s="1" t="s">
        <v>6</v>
      </c>
      <c r="B75" s="1" t="s">
        <v>81</v>
      </c>
      <c r="C75" s="1" t="s">
        <v>118</v>
      </c>
      <c r="D75" s="2">
        <v>45601</v>
      </c>
      <c r="E75" s="1">
        <v>126</v>
      </c>
      <c r="F75" s="1" t="s">
        <v>6</v>
      </c>
      <c r="K75" s="6">
        <f t="shared" si="16"/>
        <v>126</v>
      </c>
      <c r="L75" s="1">
        <f t="shared" si="15"/>
        <v>1</v>
      </c>
      <c r="M75" s="1">
        <v>1</v>
      </c>
    </row>
    <row r="76" spans="1:13" x14ac:dyDescent="0.45">
      <c r="A76" s="1" t="s">
        <v>6</v>
      </c>
      <c r="B76" s="1" t="s">
        <v>82</v>
      </c>
      <c r="C76" s="1" t="s">
        <v>118</v>
      </c>
      <c r="D76" s="2">
        <v>45601</v>
      </c>
      <c r="E76" s="1">
        <v>125</v>
      </c>
      <c r="F76" s="1" t="s">
        <v>6</v>
      </c>
      <c r="K76" s="6">
        <f t="shared" si="16"/>
        <v>125</v>
      </c>
      <c r="L76" s="1">
        <f t="shared" si="15"/>
        <v>1</v>
      </c>
      <c r="M76" s="1">
        <v>1</v>
      </c>
    </row>
    <row r="77" spans="1:13" x14ac:dyDescent="0.45">
      <c r="A77" s="1" t="s">
        <v>6</v>
      </c>
      <c r="B77" s="1" t="s">
        <v>83</v>
      </c>
      <c r="C77" s="1" t="s">
        <v>118</v>
      </c>
      <c r="D77" s="2">
        <v>45671</v>
      </c>
      <c r="E77" s="1">
        <v>158</v>
      </c>
      <c r="F77" s="1" t="s">
        <v>6</v>
      </c>
      <c r="K77" s="6">
        <f t="shared" si="16"/>
        <v>158</v>
      </c>
      <c r="L77" s="1">
        <f t="shared" si="15"/>
        <v>1</v>
      </c>
      <c r="M77" s="1">
        <v>1</v>
      </c>
    </row>
    <row r="78" spans="1:13" x14ac:dyDescent="0.45">
      <c r="A78" s="1" t="s">
        <v>6</v>
      </c>
      <c r="B78" s="1" t="s">
        <v>84</v>
      </c>
      <c r="C78" s="1" t="s">
        <v>118</v>
      </c>
      <c r="D78" s="2">
        <v>45671</v>
      </c>
      <c r="E78" s="1">
        <v>157</v>
      </c>
      <c r="F78" s="1" t="s">
        <v>6</v>
      </c>
      <c r="K78" s="6">
        <f t="shared" si="16"/>
        <v>157</v>
      </c>
      <c r="L78" s="1">
        <f t="shared" si="15"/>
        <v>1</v>
      </c>
      <c r="M78" s="1">
        <v>1</v>
      </c>
    </row>
    <row r="79" spans="1:13" x14ac:dyDescent="0.45">
      <c r="A79" s="1" t="s">
        <v>6</v>
      </c>
      <c r="B79" s="1" t="s">
        <v>85</v>
      </c>
      <c r="C79" s="1" t="s">
        <v>118</v>
      </c>
      <c r="D79" s="2">
        <v>45671</v>
      </c>
      <c r="E79" s="1">
        <v>174</v>
      </c>
      <c r="F79" s="1" t="s">
        <v>6</v>
      </c>
      <c r="K79" s="6">
        <f t="shared" si="16"/>
        <v>174</v>
      </c>
      <c r="L79" s="1">
        <f t="shared" si="15"/>
        <v>1</v>
      </c>
      <c r="M79" s="1">
        <v>1</v>
      </c>
    </row>
    <row r="80" spans="1:13" x14ac:dyDescent="0.45">
      <c r="A80" s="1" t="s">
        <v>6</v>
      </c>
      <c r="B80" s="1" t="s">
        <v>86</v>
      </c>
      <c r="C80" s="1" t="s">
        <v>118</v>
      </c>
      <c r="D80" s="2">
        <v>45671</v>
      </c>
      <c r="E80" s="1">
        <v>174</v>
      </c>
      <c r="F80" s="1" t="s">
        <v>6</v>
      </c>
      <c r="K80" s="6">
        <f t="shared" si="16"/>
        <v>174</v>
      </c>
      <c r="L80" s="1">
        <f t="shared" si="15"/>
        <v>1</v>
      </c>
      <c r="M80" s="1">
        <v>1</v>
      </c>
    </row>
    <row r="81" spans="1:13" x14ac:dyDescent="0.45">
      <c r="A81" s="1" t="s">
        <v>6</v>
      </c>
      <c r="B81" s="1" t="s">
        <v>73</v>
      </c>
      <c r="C81" s="1" t="s">
        <v>118</v>
      </c>
      <c r="D81" s="2">
        <v>45671</v>
      </c>
      <c r="E81" s="1">
        <v>174</v>
      </c>
      <c r="F81" s="1" t="s">
        <v>6</v>
      </c>
      <c r="K81" s="6">
        <f t="shared" si="16"/>
        <v>174</v>
      </c>
      <c r="L81" s="1">
        <f t="shared" si="15"/>
        <v>1</v>
      </c>
      <c r="M81" s="1">
        <v>1</v>
      </c>
    </row>
    <row r="82" spans="1:13" x14ac:dyDescent="0.45">
      <c r="A82" s="1" t="s">
        <v>6</v>
      </c>
      <c r="B82" s="1" t="s">
        <v>74</v>
      </c>
      <c r="C82" s="1" t="s">
        <v>118</v>
      </c>
      <c r="D82" s="2">
        <v>45671</v>
      </c>
      <c r="E82" s="1">
        <v>174</v>
      </c>
      <c r="F82" s="1" t="s">
        <v>6</v>
      </c>
      <c r="K82" s="6">
        <f t="shared" si="16"/>
        <v>174</v>
      </c>
      <c r="L82" s="1">
        <f t="shared" si="15"/>
        <v>1</v>
      </c>
      <c r="M82" s="1">
        <v>1</v>
      </c>
    </row>
    <row r="83" spans="1:13" x14ac:dyDescent="0.45">
      <c r="A83" s="1" t="s">
        <v>6</v>
      </c>
      <c r="B83" s="1" t="s">
        <v>75</v>
      </c>
      <c r="C83" s="1" t="s">
        <v>118</v>
      </c>
      <c r="D83" s="2">
        <v>45671</v>
      </c>
      <c r="E83" s="1">
        <v>183</v>
      </c>
      <c r="F83" s="1" t="s">
        <v>6</v>
      </c>
      <c r="K83" s="6">
        <f t="shared" si="16"/>
        <v>183</v>
      </c>
      <c r="L83" s="1">
        <f t="shared" si="15"/>
        <v>1</v>
      </c>
      <c r="M83" s="1">
        <v>1</v>
      </c>
    </row>
    <row r="84" spans="1:13" x14ac:dyDescent="0.45">
      <c r="A84" s="1" t="s">
        <v>6</v>
      </c>
      <c r="B84" s="1" t="s">
        <v>76</v>
      </c>
      <c r="C84" s="1" t="s">
        <v>118</v>
      </c>
      <c r="D84" s="2">
        <v>45671</v>
      </c>
      <c r="E84" s="1">
        <v>182</v>
      </c>
      <c r="F84" s="1" t="s">
        <v>6</v>
      </c>
      <c r="K84" s="6">
        <f t="shared" si="16"/>
        <v>182</v>
      </c>
      <c r="L84" s="1">
        <f t="shared" si="15"/>
        <v>1</v>
      </c>
      <c r="M84" s="1">
        <v>1</v>
      </c>
    </row>
    <row r="85" spans="1:13" x14ac:dyDescent="0.45">
      <c r="A85" s="1" t="s">
        <v>6</v>
      </c>
      <c r="B85" s="1" t="s">
        <v>77</v>
      </c>
      <c r="C85" s="1" t="s">
        <v>118</v>
      </c>
      <c r="D85" s="2">
        <v>45671</v>
      </c>
      <c r="E85" s="1">
        <v>182</v>
      </c>
      <c r="F85" s="1" t="s">
        <v>6</v>
      </c>
      <c r="K85" s="6">
        <f t="shared" si="16"/>
        <v>182</v>
      </c>
      <c r="L85" s="1">
        <f t="shared" si="15"/>
        <v>1</v>
      </c>
      <c r="M85" s="1">
        <v>1</v>
      </c>
    </row>
    <row r="86" spans="1:13" x14ac:dyDescent="0.45">
      <c r="A86" s="1" t="s">
        <v>6</v>
      </c>
      <c r="B86" s="1" t="s">
        <v>78</v>
      </c>
      <c r="C86" s="1" t="s">
        <v>118</v>
      </c>
      <c r="D86" s="2">
        <v>45671</v>
      </c>
      <c r="E86" s="1">
        <v>182</v>
      </c>
      <c r="F86" s="1" t="s">
        <v>6</v>
      </c>
      <c r="K86" s="6">
        <f t="shared" si="16"/>
        <v>182</v>
      </c>
      <c r="L86" s="1">
        <f t="shared" si="15"/>
        <v>1</v>
      </c>
      <c r="M86" s="1">
        <v>1</v>
      </c>
    </row>
    <row r="87" spans="1:13" x14ac:dyDescent="0.45">
      <c r="A87" s="1" t="s">
        <v>6</v>
      </c>
      <c r="B87" s="1" t="s">
        <v>72</v>
      </c>
      <c r="C87" s="1" t="s">
        <v>118</v>
      </c>
      <c r="D87" s="2">
        <v>45671</v>
      </c>
      <c r="E87" s="1">
        <v>182</v>
      </c>
      <c r="F87" s="1" t="s">
        <v>6</v>
      </c>
      <c r="K87" s="6">
        <f t="shared" si="16"/>
        <v>182</v>
      </c>
      <c r="L87" s="1">
        <f t="shared" si="15"/>
        <v>1</v>
      </c>
      <c r="M87" s="1">
        <v>1</v>
      </c>
    </row>
    <row r="88" spans="1:13" x14ac:dyDescent="0.45">
      <c r="A88" s="1" t="s">
        <v>6</v>
      </c>
      <c r="B88" s="1" t="s">
        <v>71</v>
      </c>
      <c r="C88" s="1" t="s">
        <v>118</v>
      </c>
      <c r="D88" s="2">
        <v>45697</v>
      </c>
      <c r="E88" s="1">
        <v>204</v>
      </c>
      <c r="F88" s="1" t="s">
        <v>6</v>
      </c>
      <c r="K88" s="6">
        <f t="shared" si="16"/>
        <v>204</v>
      </c>
      <c r="L88" s="1">
        <f t="shared" si="15"/>
        <v>1</v>
      </c>
      <c r="M88" s="1">
        <v>1</v>
      </c>
    </row>
    <row r="89" spans="1:13" x14ac:dyDescent="0.45">
      <c r="A89" s="1" t="s">
        <v>6</v>
      </c>
      <c r="B89" s="1" t="s">
        <v>69</v>
      </c>
      <c r="C89" s="1" t="s">
        <v>118</v>
      </c>
      <c r="D89" s="2">
        <v>45697</v>
      </c>
      <c r="E89" s="1">
        <v>179</v>
      </c>
      <c r="F89" s="1" t="s">
        <v>6</v>
      </c>
      <c r="K89" s="6">
        <f t="shared" si="16"/>
        <v>179</v>
      </c>
      <c r="L89" s="1">
        <f t="shared" si="15"/>
        <v>1</v>
      </c>
      <c r="M89" s="1">
        <v>1</v>
      </c>
    </row>
    <row r="90" spans="1:13" x14ac:dyDescent="0.45">
      <c r="A90" s="1" t="s">
        <v>6</v>
      </c>
      <c r="B90" s="1" t="s">
        <v>70</v>
      </c>
      <c r="C90" s="1" t="s">
        <v>118</v>
      </c>
      <c r="D90" s="2">
        <v>45697</v>
      </c>
      <c r="E90" s="1">
        <v>179</v>
      </c>
      <c r="F90" s="1" t="s">
        <v>6</v>
      </c>
      <c r="K90" s="6">
        <f t="shared" si="16"/>
        <v>179</v>
      </c>
      <c r="L90" s="1">
        <f t="shared" si="15"/>
        <v>1</v>
      </c>
      <c r="M90" s="1">
        <v>1</v>
      </c>
    </row>
    <row r="91" spans="1:13" x14ac:dyDescent="0.45">
      <c r="A91" s="1" t="s">
        <v>6</v>
      </c>
      <c r="B91" s="1" t="s">
        <v>67</v>
      </c>
      <c r="C91" s="1" t="s">
        <v>118</v>
      </c>
      <c r="D91" s="2">
        <v>45697</v>
      </c>
      <c r="E91" s="1">
        <v>179</v>
      </c>
      <c r="F91" s="1" t="s">
        <v>6</v>
      </c>
      <c r="K91" s="6">
        <f t="shared" si="16"/>
        <v>179</v>
      </c>
      <c r="L91" s="1">
        <f t="shared" si="15"/>
        <v>1</v>
      </c>
      <c r="M91" s="1">
        <v>1</v>
      </c>
    </row>
    <row r="92" spans="1:13" x14ac:dyDescent="0.45">
      <c r="A92" s="1" t="s">
        <v>6</v>
      </c>
      <c r="B92" s="1" t="s">
        <v>68</v>
      </c>
      <c r="C92" s="1" t="s">
        <v>118</v>
      </c>
      <c r="D92" s="2">
        <v>45697</v>
      </c>
      <c r="E92" s="3">
        <f>884/5</f>
        <v>176.8</v>
      </c>
      <c r="F92" s="1" t="s">
        <v>6</v>
      </c>
      <c r="K92" s="6">
        <f t="shared" si="16"/>
        <v>176.8</v>
      </c>
      <c r="L92" s="1">
        <f t="shared" si="15"/>
        <v>1</v>
      </c>
      <c r="M92" s="1">
        <v>1</v>
      </c>
    </row>
    <row r="93" spans="1:13" x14ac:dyDescent="0.45">
      <c r="A93" s="1" t="s">
        <v>6</v>
      </c>
      <c r="B93" s="1" t="s">
        <v>64</v>
      </c>
      <c r="C93" s="1" t="s">
        <v>118</v>
      </c>
      <c r="D93" s="2">
        <v>45697</v>
      </c>
      <c r="E93" s="3">
        <f t="shared" ref="E93:E96" si="17">884/5</f>
        <v>176.8</v>
      </c>
      <c r="F93" s="1" t="s">
        <v>6</v>
      </c>
      <c r="K93" s="6">
        <f t="shared" si="16"/>
        <v>176.8</v>
      </c>
      <c r="L93" s="1">
        <f t="shared" si="15"/>
        <v>1</v>
      </c>
      <c r="M93" s="1">
        <v>1</v>
      </c>
    </row>
    <row r="94" spans="1:13" x14ac:dyDescent="0.45">
      <c r="A94" s="1" t="s">
        <v>6</v>
      </c>
      <c r="B94" s="1" t="s">
        <v>65</v>
      </c>
      <c r="C94" s="1" t="s">
        <v>118</v>
      </c>
      <c r="D94" s="2">
        <v>45697</v>
      </c>
      <c r="E94" s="3">
        <f t="shared" si="17"/>
        <v>176.8</v>
      </c>
      <c r="F94" s="1" t="s">
        <v>6</v>
      </c>
      <c r="K94" s="6">
        <f t="shared" si="16"/>
        <v>176.8</v>
      </c>
      <c r="L94" s="1">
        <f t="shared" si="15"/>
        <v>1</v>
      </c>
      <c r="M94" s="1">
        <v>1</v>
      </c>
    </row>
    <row r="95" spans="1:13" x14ac:dyDescent="0.45">
      <c r="A95" s="1" t="s">
        <v>6</v>
      </c>
      <c r="B95" s="1" t="s">
        <v>66</v>
      </c>
      <c r="C95" s="1" t="s">
        <v>118</v>
      </c>
      <c r="D95" s="2">
        <v>45697</v>
      </c>
      <c r="E95" s="3">
        <f t="shared" si="17"/>
        <v>176.8</v>
      </c>
      <c r="F95" s="1" t="s">
        <v>6</v>
      </c>
      <c r="K95" s="6">
        <f t="shared" si="16"/>
        <v>176.8</v>
      </c>
      <c r="L95" s="1">
        <f t="shared" si="15"/>
        <v>1</v>
      </c>
      <c r="M95" s="1">
        <v>1</v>
      </c>
    </row>
    <row r="96" spans="1:13" x14ac:dyDescent="0.45">
      <c r="A96" s="1" t="s">
        <v>6</v>
      </c>
      <c r="B96" s="1" t="s">
        <v>63</v>
      </c>
      <c r="C96" s="1" t="s">
        <v>118</v>
      </c>
      <c r="D96" s="2">
        <v>45697</v>
      </c>
      <c r="E96" s="3">
        <f t="shared" si="17"/>
        <v>176.8</v>
      </c>
      <c r="F96" s="1" t="s">
        <v>6</v>
      </c>
      <c r="K96" s="6">
        <f t="shared" si="16"/>
        <v>176.8</v>
      </c>
      <c r="L96" s="1">
        <f t="shared" si="15"/>
        <v>1</v>
      </c>
      <c r="M96" s="1">
        <v>1</v>
      </c>
    </row>
    <row r="97" spans="1:13" x14ac:dyDescent="0.45">
      <c r="A97" s="1" t="s">
        <v>6</v>
      </c>
      <c r="B97" s="1" t="s">
        <v>58</v>
      </c>
      <c r="C97" s="1" t="s">
        <v>118</v>
      </c>
      <c r="D97" s="2">
        <v>45697</v>
      </c>
      <c r="E97" s="3">
        <f>891/5</f>
        <v>178.2</v>
      </c>
      <c r="F97" s="1" t="s">
        <v>6</v>
      </c>
      <c r="K97" s="6">
        <f t="shared" si="16"/>
        <v>178.2</v>
      </c>
      <c r="L97" s="1">
        <f t="shared" si="15"/>
        <v>1</v>
      </c>
      <c r="M97" s="1">
        <v>1</v>
      </c>
    </row>
    <row r="98" spans="1:13" x14ac:dyDescent="0.45">
      <c r="A98" s="1" t="s">
        <v>6</v>
      </c>
      <c r="B98" s="1" t="s">
        <v>59</v>
      </c>
      <c r="C98" s="1" t="s">
        <v>118</v>
      </c>
      <c r="D98" s="2">
        <v>45697</v>
      </c>
      <c r="E98" s="3">
        <f>891/5</f>
        <v>178.2</v>
      </c>
      <c r="F98" s="1" t="s">
        <v>6</v>
      </c>
      <c r="K98" s="6">
        <f t="shared" si="16"/>
        <v>178.2</v>
      </c>
      <c r="L98" s="1">
        <f t="shared" si="15"/>
        <v>1</v>
      </c>
      <c r="M98" s="1">
        <v>1</v>
      </c>
    </row>
    <row r="99" spans="1:13" x14ac:dyDescent="0.45">
      <c r="A99" s="1" t="s">
        <v>6</v>
      </c>
      <c r="B99" s="1" t="s">
        <v>60</v>
      </c>
      <c r="C99" s="1" t="s">
        <v>118</v>
      </c>
      <c r="D99" s="2">
        <v>45697</v>
      </c>
      <c r="E99" s="3">
        <f t="shared" ref="E99:E101" si="18">891/5</f>
        <v>178.2</v>
      </c>
      <c r="F99" s="1" t="s">
        <v>6</v>
      </c>
      <c r="K99" s="6">
        <f t="shared" si="16"/>
        <v>178.2</v>
      </c>
      <c r="L99" s="1">
        <f t="shared" si="15"/>
        <v>1</v>
      </c>
      <c r="M99" s="1">
        <v>1</v>
      </c>
    </row>
    <row r="100" spans="1:13" x14ac:dyDescent="0.45">
      <c r="A100" s="1" t="s">
        <v>6</v>
      </c>
      <c r="B100" s="1" t="s">
        <v>61</v>
      </c>
      <c r="C100" s="1" t="s">
        <v>118</v>
      </c>
      <c r="D100" s="2">
        <v>45697</v>
      </c>
      <c r="E100" s="3">
        <f t="shared" si="18"/>
        <v>178.2</v>
      </c>
      <c r="F100" s="1" t="s">
        <v>6</v>
      </c>
      <c r="K100" s="6">
        <f t="shared" si="16"/>
        <v>178.2</v>
      </c>
      <c r="L100" s="1">
        <f t="shared" si="15"/>
        <v>1</v>
      </c>
      <c r="M100" s="1">
        <v>1</v>
      </c>
    </row>
    <row r="101" spans="1:13" x14ac:dyDescent="0.45">
      <c r="A101" s="1" t="s">
        <v>6</v>
      </c>
      <c r="B101" s="1" t="s">
        <v>62</v>
      </c>
      <c r="C101" s="1" t="s">
        <v>118</v>
      </c>
      <c r="D101" s="2">
        <v>45697</v>
      </c>
      <c r="E101" s="3">
        <f t="shared" si="18"/>
        <v>178.2</v>
      </c>
      <c r="F101" s="1" t="s">
        <v>6</v>
      </c>
      <c r="K101" s="6">
        <f t="shared" si="16"/>
        <v>178.2</v>
      </c>
      <c r="L101" s="1">
        <f t="shared" si="15"/>
        <v>1</v>
      </c>
      <c r="M101" s="1">
        <v>1</v>
      </c>
    </row>
    <row r="102" spans="1:13" x14ac:dyDescent="0.45">
      <c r="A102" s="1" t="s">
        <v>6</v>
      </c>
      <c r="B102" s="1" t="s">
        <v>29</v>
      </c>
      <c r="C102" s="1" t="s">
        <v>605</v>
      </c>
      <c r="D102" s="2">
        <v>45931</v>
      </c>
      <c r="E102" s="1">
        <v>173</v>
      </c>
      <c r="F102" s="1" t="s">
        <v>6</v>
      </c>
      <c r="I102" s="2">
        <v>46046</v>
      </c>
      <c r="J102" s="1" t="s">
        <v>35</v>
      </c>
      <c r="K102" s="6">
        <f t="shared" si="16"/>
        <v>173</v>
      </c>
      <c r="L102" s="1">
        <f t="shared" si="15"/>
        <v>1</v>
      </c>
      <c r="M102" s="1">
        <v>1</v>
      </c>
    </row>
    <row r="103" spans="1:13" x14ac:dyDescent="0.45">
      <c r="A103" s="1" t="s">
        <v>6</v>
      </c>
      <c r="B103" s="1" t="s">
        <v>30</v>
      </c>
      <c r="C103" s="1" t="s">
        <v>605</v>
      </c>
      <c r="D103" s="2">
        <v>45931</v>
      </c>
      <c r="E103" s="1">
        <v>172</v>
      </c>
      <c r="F103" s="1" t="s">
        <v>6</v>
      </c>
      <c r="I103" s="2">
        <v>46040</v>
      </c>
      <c r="J103" s="1" t="s">
        <v>35</v>
      </c>
      <c r="K103" s="6">
        <f t="shared" si="16"/>
        <v>172</v>
      </c>
      <c r="L103" s="1">
        <f t="shared" si="15"/>
        <v>1</v>
      </c>
      <c r="M103" s="1">
        <v>1</v>
      </c>
    </row>
    <row r="104" spans="1:13" x14ac:dyDescent="0.45">
      <c r="A104" s="1" t="s">
        <v>6</v>
      </c>
      <c r="B104" s="1" t="s">
        <v>31</v>
      </c>
      <c r="C104" s="1" t="s">
        <v>605</v>
      </c>
      <c r="D104" s="2">
        <v>45931</v>
      </c>
      <c r="E104" s="1">
        <v>171</v>
      </c>
      <c r="F104" s="1" t="s">
        <v>6</v>
      </c>
      <c r="I104" s="2">
        <v>46043</v>
      </c>
      <c r="J104" s="1" t="s">
        <v>35</v>
      </c>
      <c r="K104" s="6">
        <f t="shared" si="16"/>
        <v>171</v>
      </c>
      <c r="L104" s="1">
        <f t="shared" si="15"/>
        <v>1</v>
      </c>
      <c r="M104" s="1">
        <v>1</v>
      </c>
    </row>
    <row r="105" spans="1:13" x14ac:dyDescent="0.45">
      <c r="A105" s="1" t="s">
        <v>6</v>
      </c>
      <c r="B105" s="1" t="s">
        <v>32</v>
      </c>
      <c r="C105" s="1" t="s">
        <v>494</v>
      </c>
      <c r="D105" s="2">
        <v>45931</v>
      </c>
      <c r="E105" s="1">
        <v>171</v>
      </c>
      <c r="F105" s="1" t="s">
        <v>6</v>
      </c>
      <c r="I105" s="2">
        <v>45969</v>
      </c>
      <c r="J105" s="1" t="s">
        <v>35</v>
      </c>
      <c r="K105" s="6">
        <f t="shared" si="16"/>
        <v>171</v>
      </c>
      <c r="L105" s="1">
        <f t="shared" si="15"/>
        <v>1</v>
      </c>
      <c r="M105" s="1">
        <v>1</v>
      </c>
    </row>
    <row r="106" spans="1:13" x14ac:dyDescent="0.45">
      <c r="A106" s="1" t="s">
        <v>6</v>
      </c>
      <c r="B106" s="1" t="s">
        <v>33</v>
      </c>
      <c r="C106" s="1" t="s">
        <v>608</v>
      </c>
      <c r="D106" s="2">
        <v>45931</v>
      </c>
      <c r="E106" s="1">
        <v>171</v>
      </c>
      <c r="F106" s="1" t="s">
        <v>6</v>
      </c>
      <c r="J106" s="1" t="s">
        <v>35</v>
      </c>
      <c r="K106" s="6">
        <f t="shared" si="16"/>
        <v>171</v>
      </c>
      <c r="L106" s="1">
        <f t="shared" si="15"/>
        <v>1</v>
      </c>
      <c r="M106" s="1">
        <v>1</v>
      </c>
    </row>
    <row r="107" spans="1:13" x14ac:dyDescent="0.45">
      <c r="A107" s="1" t="s">
        <v>6</v>
      </c>
      <c r="B107" s="1" t="s">
        <v>24</v>
      </c>
      <c r="C107" s="1" t="s">
        <v>605</v>
      </c>
      <c r="D107" s="2">
        <v>45941</v>
      </c>
      <c r="E107" s="1">
        <v>179</v>
      </c>
      <c r="F107" s="1" t="s">
        <v>6</v>
      </c>
      <c r="I107" s="2">
        <v>46045</v>
      </c>
      <c r="J107" s="1" t="s">
        <v>28</v>
      </c>
      <c r="K107" s="6">
        <f t="shared" si="16"/>
        <v>179</v>
      </c>
      <c r="L107" s="1">
        <f t="shared" si="15"/>
        <v>1</v>
      </c>
      <c r="M107" s="1">
        <v>1</v>
      </c>
    </row>
    <row r="108" spans="1:13" x14ac:dyDescent="0.45">
      <c r="A108" s="1" t="s">
        <v>6</v>
      </c>
      <c r="B108" s="1" t="s">
        <v>25</v>
      </c>
      <c r="C108" s="1" t="s">
        <v>118</v>
      </c>
      <c r="D108" s="2">
        <v>45941</v>
      </c>
      <c r="E108" s="1">
        <v>179</v>
      </c>
      <c r="F108" s="1" t="s">
        <v>6</v>
      </c>
      <c r="I108" s="2">
        <v>45994</v>
      </c>
      <c r="J108" s="1" t="s">
        <v>28</v>
      </c>
      <c r="K108" s="6">
        <f t="shared" si="16"/>
        <v>179</v>
      </c>
      <c r="L108" s="1">
        <f t="shared" si="15"/>
        <v>1</v>
      </c>
      <c r="M108" s="1">
        <v>1</v>
      </c>
    </row>
    <row r="109" spans="1:13" x14ac:dyDescent="0.45">
      <c r="A109" s="1" t="s">
        <v>6</v>
      </c>
      <c r="B109" s="1" t="s">
        <v>26</v>
      </c>
      <c r="C109" s="1" t="s">
        <v>477</v>
      </c>
      <c r="D109" s="2">
        <v>45941</v>
      </c>
      <c r="E109" s="1">
        <v>178</v>
      </c>
      <c r="F109" s="1" t="s">
        <v>6</v>
      </c>
      <c r="I109" s="2">
        <v>45965</v>
      </c>
      <c r="J109" s="1" t="s">
        <v>28</v>
      </c>
      <c r="K109" s="6">
        <f t="shared" si="16"/>
        <v>178</v>
      </c>
      <c r="L109" s="1">
        <f t="shared" si="15"/>
        <v>1</v>
      </c>
      <c r="M109" s="1">
        <v>1</v>
      </c>
    </row>
    <row r="110" spans="1:13" x14ac:dyDescent="0.45">
      <c r="A110" s="1" t="s">
        <v>6</v>
      </c>
      <c r="B110" s="1" t="s">
        <v>27</v>
      </c>
      <c r="C110" s="1" t="s">
        <v>652</v>
      </c>
      <c r="D110" s="2">
        <v>45941</v>
      </c>
      <c r="E110" s="1">
        <v>178</v>
      </c>
      <c r="F110" s="1" t="s">
        <v>6</v>
      </c>
      <c r="I110" s="2">
        <v>46088</v>
      </c>
      <c r="J110" s="1" t="s">
        <v>28</v>
      </c>
      <c r="K110" s="6">
        <f t="shared" si="16"/>
        <v>178</v>
      </c>
      <c r="L110" s="1">
        <f t="shared" si="15"/>
        <v>1</v>
      </c>
      <c r="M110" s="1">
        <v>1</v>
      </c>
    </row>
    <row r="111" spans="1:13" x14ac:dyDescent="0.45">
      <c r="A111" s="1" t="s">
        <v>6</v>
      </c>
      <c r="B111" s="1" t="s">
        <v>23</v>
      </c>
      <c r="C111" s="1" t="s">
        <v>118</v>
      </c>
      <c r="D111" s="2">
        <v>45941</v>
      </c>
      <c r="E111" s="1">
        <v>189</v>
      </c>
      <c r="F111" s="1" t="s">
        <v>6</v>
      </c>
      <c r="I111" s="2">
        <v>45939</v>
      </c>
      <c r="J111" s="1" t="s">
        <v>28</v>
      </c>
      <c r="K111" s="6">
        <f t="shared" si="16"/>
        <v>189</v>
      </c>
      <c r="L111" s="1">
        <f t="shared" si="15"/>
        <v>1</v>
      </c>
      <c r="M111" s="1">
        <v>1</v>
      </c>
    </row>
    <row r="112" spans="1:13" x14ac:dyDescent="0.45">
      <c r="A112" s="1" t="s">
        <v>6</v>
      </c>
      <c r="B112" s="1" t="s">
        <v>104</v>
      </c>
      <c r="C112" s="1" t="s">
        <v>118</v>
      </c>
      <c r="D112" s="2">
        <v>45592</v>
      </c>
      <c r="E112" s="1">
        <v>230</v>
      </c>
      <c r="F112" s="1" t="s">
        <v>6</v>
      </c>
      <c r="G112" s="3">
        <f>-1108/6</f>
        <v>-184.66666666666666</v>
      </c>
      <c r="H112" s="2">
        <v>45920</v>
      </c>
      <c r="I112" s="2"/>
      <c r="K112" s="6">
        <f t="shared" si="16"/>
        <v>45.333333333333343</v>
      </c>
      <c r="L112" s="1">
        <f t="shared" si="15"/>
        <v>1</v>
      </c>
      <c r="M112" s="1">
        <v>1</v>
      </c>
    </row>
    <row r="113" spans="1:13" x14ac:dyDescent="0.45">
      <c r="A113" s="1" t="s">
        <v>6</v>
      </c>
      <c r="B113" s="1" t="s">
        <v>105</v>
      </c>
      <c r="C113" s="1" t="s">
        <v>118</v>
      </c>
      <c r="D113" s="2">
        <v>45592</v>
      </c>
      <c r="E113" s="1">
        <v>230</v>
      </c>
      <c r="F113" s="1" t="s">
        <v>6</v>
      </c>
      <c r="G113" s="3">
        <f t="shared" ref="G113:G117" si="19">-1108/6</f>
        <v>-184.66666666666666</v>
      </c>
      <c r="H113" s="2">
        <v>45920</v>
      </c>
      <c r="I113" s="2"/>
      <c r="K113" s="6">
        <f t="shared" si="16"/>
        <v>45.333333333333343</v>
      </c>
      <c r="L113" s="1">
        <f t="shared" si="15"/>
        <v>1</v>
      </c>
      <c r="M113" s="1">
        <v>1</v>
      </c>
    </row>
    <row r="114" spans="1:13" x14ac:dyDescent="0.45">
      <c r="A114" s="1" t="s">
        <v>6</v>
      </c>
      <c r="B114" s="1" t="s">
        <v>106</v>
      </c>
      <c r="C114" s="1" t="s">
        <v>118</v>
      </c>
      <c r="D114" s="2">
        <v>45592</v>
      </c>
      <c r="E114" s="1">
        <v>229</v>
      </c>
      <c r="F114" s="1" t="s">
        <v>6</v>
      </c>
      <c r="G114" s="3">
        <f t="shared" si="19"/>
        <v>-184.66666666666666</v>
      </c>
      <c r="H114" s="2">
        <v>45920</v>
      </c>
      <c r="I114" s="2"/>
      <c r="K114" s="6">
        <f t="shared" si="16"/>
        <v>44.333333333333343</v>
      </c>
      <c r="L114" s="1">
        <f t="shared" si="15"/>
        <v>1</v>
      </c>
      <c r="M114" s="1">
        <v>1</v>
      </c>
    </row>
    <row r="115" spans="1:13" x14ac:dyDescent="0.45">
      <c r="A115" s="1" t="s">
        <v>6</v>
      </c>
      <c r="B115" s="1" t="s">
        <v>107</v>
      </c>
      <c r="C115" s="1" t="s">
        <v>118</v>
      </c>
      <c r="D115" s="2">
        <v>45592</v>
      </c>
      <c r="E115" s="1">
        <v>228</v>
      </c>
      <c r="F115" s="1" t="s">
        <v>6</v>
      </c>
      <c r="G115" s="3">
        <f t="shared" si="19"/>
        <v>-184.66666666666666</v>
      </c>
      <c r="H115" s="2">
        <v>45920</v>
      </c>
      <c r="I115" s="2"/>
      <c r="K115" s="6">
        <f t="shared" si="16"/>
        <v>43.333333333333343</v>
      </c>
      <c r="L115" s="1">
        <f t="shared" si="15"/>
        <v>1</v>
      </c>
      <c r="M115" s="1">
        <v>1</v>
      </c>
    </row>
    <row r="116" spans="1:13" x14ac:dyDescent="0.45">
      <c r="A116" s="1" t="s">
        <v>6</v>
      </c>
      <c r="B116" s="1" t="s">
        <v>108</v>
      </c>
      <c r="C116" s="1" t="s">
        <v>118</v>
      </c>
      <c r="D116" s="2">
        <v>45592</v>
      </c>
      <c r="E116" s="1">
        <v>228</v>
      </c>
      <c r="F116" s="1" t="s">
        <v>6</v>
      </c>
      <c r="G116" s="3">
        <f t="shared" si="19"/>
        <v>-184.66666666666666</v>
      </c>
      <c r="H116" s="2">
        <v>45920</v>
      </c>
      <c r="I116" s="2"/>
      <c r="K116" s="6">
        <f t="shared" si="16"/>
        <v>43.333333333333343</v>
      </c>
      <c r="L116" s="1">
        <f t="shared" si="15"/>
        <v>1</v>
      </c>
      <c r="M116" s="1">
        <v>1</v>
      </c>
    </row>
    <row r="117" spans="1:13" x14ac:dyDescent="0.45">
      <c r="A117" s="1" t="s">
        <v>6</v>
      </c>
      <c r="B117" s="1" t="s">
        <v>109</v>
      </c>
      <c r="C117" s="1" t="s">
        <v>118</v>
      </c>
      <c r="D117" s="2">
        <v>45592</v>
      </c>
      <c r="E117" s="1">
        <v>228</v>
      </c>
      <c r="F117" s="1" t="s">
        <v>6</v>
      </c>
      <c r="G117" s="3">
        <f t="shared" si="19"/>
        <v>-184.66666666666666</v>
      </c>
      <c r="H117" s="2">
        <v>45920</v>
      </c>
      <c r="I117" s="2"/>
      <c r="K117" s="6">
        <f t="shared" si="16"/>
        <v>43.333333333333343</v>
      </c>
      <c r="L117" s="1">
        <f t="shared" si="15"/>
        <v>1</v>
      </c>
      <c r="M117" s="1">
        <v>1</v>
      </c>
    </row>
    <row r="118" spans="1:13" x14ac:dyDescent="0.45">
      <c r="A118" s="1" t="s">
        <v>6</v>
      </c>
      <c r="B118" s="1" t="s">
        <v>110</v>
      </c>
      <c r="C118" s="1" t="s">
        <v>118</v>
      </c>
      <c r="D118" s="2">
        <v>45592</v>
      </c>
      <c r="E118" s="3">
        <f>1342/7</f>
        <v>191.71428571428572</v>
      </c>
      <c r="F118" s="1" t="s">
        <v>6</v>
      </c>
      <c r="G118" s="1">
        <f>-1085/7</f>
        <v>-155</v>
      </c>
      <c r="H118" s="2">
        <v>45941</v>
      </c>
      <c r="I118" s="2">
        <v>45936</v>
      </c>
      <c r="K118" s="6">
        <f t="shared" si="16"/>
        <v>36.714285714285722</v>
      </c>
      <c r="L118" s="1">
        <f t="shared" si="15"/>
        <v>1</v>
      </c>
      <c r="M118" s="1">
        <v>1</v>
      </c>
    </row>
    <row r="119" spans="1:13" x14ac:dyDescent="0.45">
      <c r="A119" s="1" t="s">
        <v>6</v>
      </c>
      <c r="B119" s="1" t="s">
        <v>111</v>
      </c>
      <c r="C119" s="1" t="s">
        <v>118</v>
      </c>
      <c r="D119" s="2">
        <v>45592</v>
      </c>
      <c r="E119" s="3">
        <f t="shared" ref="E119:E124" si="20">1342/7</f>
        <v>191.71428571428572</v>
      </c>
      <c r="F119" s="1" t="s">
        <v>6</v>
      </c>
      <c r="G119" s="1">
        <f t="shared" ref="G119:G124" si="21">-1085/7</f>
        <v>-155</v>
      </c>
      <c r="H119" s="2">
        <v>45941</v>
      </c>
      <c r="I119" s="2">
        <v>45936</v>
      </c>
      <c r="K119" s="6">
        <f t="shared" si="16"/>
        <v>36.714285714285722</v>
      </c>
      <c r="L119" s="1">
        <f t="shared" si="15"/>
        <v>1</v>
      </c>
      <c r="M119" s="1">
        <v>1</v>
      </c>
    </row>
    <row r="120" spans="1:13" x14ac:dyDescent="0.45">
      <c r="A120" s="1" t="s">
        <v>6</v>
      </c>
      <c r="B120" s="1" t="s">
        <v>112</v>
      </c>
      <c r="C120" s="1" t="s">
        <v>118</v>
      </c>
      <c r="D120" s="2">
        <v>45592</v>
      </c>
      <c r="E120" s="3">
        <f t="shared" si="20"/>
        <v>191.71428571428572</v>
      </c>
      <c r="F120" s="1" t="s">
        <v>6</v>
      </c>
      <c r="G120" s="1">
        <f t="shared" si="21"/>
        <v>-155</v>
      </c>
      <c r="H120" s="2">
        <v>45941</v>
      </c>
      <c r="I120" s="2">
        <v>45941</v>
      </c>
      <c r="K120" s="6">
        <f t="shared" si="16"/>
        <v>36.714285714285722</v>
      </c>
      <c r="L120" s="1">
        <f t="shared" si="15"/>
        <v>1</v>
      </c>
      <c r="M120" s="1">
        <v>1</v>
      </c>
    </row>
    <row r="121" spans="1:13" x14ac:dyDescent="0.45">
      <c r="A121" s="1" t="s">
        <v>6</v>
      </c>
      <c r="B121" s="1" t="s">
        <v>113</v>
      </c>
      <c r="C121" s="1" t="s">
        <v>118</v>
      </c>
      <c r="D121" s="2">
        <v>45592</v>
      </c>
      <c r="E121" s="3">
        <f t="shared" si="20"/>
        <v>191.71428571428572</v>
      </c>
      <c r="F121" s="1" t="s">
        <v>6</v>
      </c>
      <c r="G121" s="1">
        <f t="shared" si="21"/>
        <v>-155</v>
      </c>
      <c r="H121" s="2">
        <v>45941</v>
      </c>
      <c r="I121" s="2">
        <v>45937</v>
      </c>
      <c r="K121" s="6">
        <f t="shared" si="16"/>
        <v>36.714285714285722</v>
      </c>
      <c r="L121" s="1">
        <f t="shared" si="15"/>
        <v>1</v>
      </c>
      <c r="M121" s="1">
        <v>1</v>
      </c>
    </row>
    <row r="122" spans="1:13" x14ac:dyDescent="0.45">
      <c r="A122" s="1" t="s">
        <v>6</v>
      </c>
      <c r="B122" s="1" t="s">
        <v>114</v>
      </c>
      <c r="C122" s="1" t="s">
        <v>118</v>
      </c>
      <c r="D122" s="2">
        <v>45592</v>
      </c>
      <c r="E122" s="3">
        <f t="shared" si="20"/>
        <v>191.71428571428572</v>
      </c>
      <c r="F122" s="1" t="s">
        <v>6</v>
      </c>
      <c r="G122" s="1">
        <f t="shared" si="21"/>
        <v>-155</v>
      </c>
      <c r="H122" s="2">
        <v>45941</v>
      </c>
      <c r="I122" s="2">
        <v>45941</v>
      </c>
      <c r="K122" s="6">
        <f t="shared" si="16"/>
        <v>36.714285714285722</v>
      </c>
      <c r="L122" s="1">
        <f t="shared" si="15"/>
        <v>1</v>
      </c>
      <c r="M122" s="1">
        <v>1</v>
      </c>
    </row>
    <row r="123" spans="1:13" x14ac:dyDescent="0.45">
      <c r="A123" s="1" t="s">
        <v>6</v>
      </c>
      <c r="B123" s="1" t="s">
        <v>115</v>
      </c>
      <c r="C123" s="1" t="s">
        <v>118</v>
      </c>
      <c r="D123" s="2">
        <v>45592</v>
      </c>
      <c r="E123" s="3">
        <f t="shared" si="20"/>
        <v>191.71428571428572</v>
      </c>
      <c r="F123" s="1" t="s">
        <v>6</v>
      </c>
      <c r="G123" s="1">
        <f t="shared" si="21"/>
        <v>-155</v>
      </c>
      <c r="H123" s="2">
        <v>45941</v>
      </c>
      <c r="I123" s="2">
        <v>45940</v>
      </c>
      <c r="K123" s="6">
        <f t="shared" si="16"/>
        <v>36.714285714285722</v>
      </c>
      <c r="L123" s="1">
        <f t="shared" si="15"/>
        <v>1</v>
      </c>
      <c r="M123" s="1">
        <v>1</v>
      </c>
    </row>
    <row r="124" spans="1:13" x14ac:dyDescent="0.45">
      <c r="A124" s="1" t="s">
        <v>6</v>
      </c>
      <c r="B124" s="1" t="s">
        <v>116</v>
      </c>
      <c r="C124" s="1" t="s">
        <v>118</v>
      </c>
      <c r="D124" s="2">
        <v>45592</v>
      </c>
      <c r="E124" s="3">
        <f t="shared" si="20"/>
        <v>191.71428571428572</v>
      </c>
      <c r="F124" s="1" t="s">
        <v>6</v>
      </c>
      <c r="G124" s="1">
        <f t="shared" si="21"/>
        <v>-155</v>
      </c>
      <c r="H124" s="2">
        <v>45941</v>
      </c>
      <c r="I124" s="2">
        <v>45935</v>
      </c>
      <c r="K124" s="6">
        <f t="shared" si="16"/>
        <v>36.714285714285722</v>
      </c>
      <c r="L124" s="1">
        <f t="shared" si="15"/>
        <v>1</v>
      </c>
      <c r="M124" s="1">
        <v>1</v>
      </c>
    </row>
    <row r="125" spans="1:13" x14ac:dyDescent="0.45">
      <c r="A125" s="1" t="s">
        <v>6</v>
      </c>
      <c r="B125" s="1" t="s">
        <v>371</v>
      </c>
      <c r="C125" s="1" t="s">
        <v>118</v>
      </c>
      <c r="D125" s="2">
        <v>45592</v>
      </c>
      <c r="E125" s="3">
        <f>788/5</f>
        <v>157.6</v>
      </c>
      <c r="F125" s="1" t="s">
        <v>6</v>
      </c>
      <c r="K125" s="6">
        <f t="shared" si="16"/>
        <v>157.6</v>
      </c>
      <c r="L125" s="1">
        <f t="shared" si="15"/>
        <v>1</v>
      </c>
      <c r="M125" s="1">
        <v>1</v>
      </c>
    </row>
    <row r="126" spans="1:13" x14ac:dyDescent="0.45">
      <c r="A126" s="1" t="s">
        <v>6</v>
      </c>
      <c r="B126" s="1" t="s">
        <v>372</v>
      </c>
      <c r="C126" s="1" t="s">
        <v>118</v>
      </c>
      <c r="D126" s="2">
        <v>45592</v>
      </c>
      <c r="E126" s="3">
        <f t="shared" ref="E126:E129" si="22">788/5</f>
        <v>157.6</v>
      </c>
      <c r="F126" s="1" t="s">
        <v>6</v>
      </c>
      <c r="I126" s="2">
        <v>45998</v>
      </c>
      <c r="K126" s="6">
        <f t="shared" si="16"/>
        <v>157.6</v>
      </c>
      <c r="L126" s="1">
        <f t="shared" si="15"/>
        <v>1</v>
      </c>
      <c r="M126" s="1">
        <v>1</v>
      </c>
    </row>
    <row r="127" spans="1:13" x14ac:dyDescent="0.45">
      <c r="A127" s="1" t="s">
        <v>6</v>
      </c>
      <c r="B127" s="1" t="s">
        <v>531</v>
      </c>
      <c r="C127" s="1" t="s">
        <v>118</v>
      </c>
      <c r="D127" s="2">
        <v>45592</v>
      </c>
      <c r="E127" s="3">
        <f t="shared" si="22"/>
        <v>157.6</v>
      </c>
      <c r="F127" s="1" t="s">
        <v>6</v>
      </c>
      <c r="I127" s="2">
        <v>45991</v>
      </c>
      <c r="K127" s="6">
        <f t="shared" si="16"/>
        <v>157.6</v>
      </c>
      <c r="L127" s="1">
        <f t="shared" si="15"/>
        <v>1</v>
      </c>
      <c r="M127" s="1">
        <v>1</v>
      </c>
    </row>
    <row r="128" spans="1:13" x14ac:dyDescent="0.45">
      <c r="A128" s="1" t="s">
        <v>6</v>
      </c>
      <c r="B128" s="1" t="s">
        <v>373</v>
      </c>
      <c r="C128" s="1" t="s">
        <v>118</v>
      </c>
      <c r="D128" s="2">
        <v>45592</v>
      </c>
      <c r="E128" s="3">
        <f t="shared" si="22"/>
        <v>157.6</v>
      </c>
      <c r="F128" s="1" t="s">
        <v>6</v>
      </c>
      <c r="K128" s="6">
        <f t="shared" si="16"/>
        <v>157.6</v>
      </c>
      <c r="L128" s="1">
        <f t="shared" si="15"/>
        <v>1</v>
      </c>
      <c r="M128" s="1">
        <v>1</v>
      </c>
    </row>
    <row r="129" spans="1:13" x14ac:dyDescent="0.45">
      <c r="A129" s="1" t="s">
        <v>6</v>
      </c>
      <c r="B129" s="1" t="s">
        <v>374</v>
      </c>
      <c r="C129" s="1" t="s">
        <v>118</v>
      </c>
      <c r="D129" s="2">
        <v>45592</v>
      </c>
      <c r="E129" s="3">
        <f t="shared" si="22"/>
        <v>157.6</v>
      </c>
      <c r="F129" s="1" t="s">
        <v>6</v>
      </c>
      <c r="I129" s="2">
        <v>45997</v>
      </c>
      <c r="K129" s="6">
        <f t="shared" si="16"/>
        <v>157.6</v>
      </c>
      <c r="L129" s="1">
        <f t="shared" si="15"/>
        <v>1</v>
      </c>
      <c r="M129" s="1">
        <v>1</v>
      </c>
    </row>
    <row r="130" spans="1:13" x14ac:dyDescent="0.45">
      <c r="A130" s="1" t="s">
        <v>6</v>
      </c>
      <c r="B130" s="1" t="s">
        <v>217</v>
      </c>
      <c r="C130" s="1" t="s">
        <v>118</v>
      </c>
      <c r="D130" s="2">
        <v>45817</v>
      </c>
      <c r="E130" s="3">
        <f>806/4</f>
        <v>201.5</v>
      </c>
      <c r="F130" s="1" t="s">
        <v>125</v>
      </c>
      <c r="K130" s="6">
        <f t="shared" si="16"/>
        <v>201.5</v>
      </c>
      <c r="L130" s="1">
        <f t="shared" si="15"/>
        <v>1</v>
      </c>
      <c r="M130" s="1">
        <v>1</v>
      </c>
    </row>
    <row r="131" spans="1:13" x14ac:dyDescent="0.45">
      <c r="A131" s="1" t="s">
        <v>6</v>
      </c>
      <c r="B131" s="1" t="s">
        <v>218</v>
      </c>
      <c r="C131" s="1" t="s">
        <v>118</v>
      </c>
      <c r="D131" s="2">
        <v>45817</v>
      </c>
      <c r="E131" s="3">
        <f t="shared" ref="E131:E133" si="23">806/4</f>
        <v>201.5</v>
      </c>
      <c r="F131" s="1" t="s">
        <v>125</v>
      </c>
      <c r="K131" s="6">
        <f t="shared" si="16"/>
        <v>201.5</v>
      </c>
      <c r="L131" s="1">
        <f t="shared" ref="L131:L194" si="24">IF(C131="V",1,IF(C131="X",0,""))</f>
        <v>1</v>
      </c>
      <c r="M131" s="1">
        <v>1</v>
      </c>
    </row>
    <row r="132" spans="1:13" x14ac:dyDescent="0.45">
      <c r="A132" s="1" t="s">
        <v>6</v>
      </c>
      <c r="B132" s="1" t="s">
        <v>219</v>
      </c>
      <c r="C132" s="1" t="s">
        <v>118</v>
      </c>
      <c r="D132" s="2">
        <v>45817</v>
      </c>
      <c r="E132" s="3">
        <f t="shared" si="23"/>
        <v>201.5</v>
      </c>
      <c r="F132" s="1" t="s">
        <v>125</v>
      </c>
      <c r="I132" s="2">
        <v>45947</v>
      </c>
      <c r="K132" s="6">
        <f t="shared" si="16"/>
        <v>201.5</v>
      </c>
      <c r="L132" s="1">
        <f t="shared" si="24"/>
        <v>1</v>
      </c>
      <c r="M132" s="1">
        <v>1</v>
      </c>
    </row>
    <row r="133" spans="1:13" x14ac:dyDescent="0.45">
      <c r="A133" s="1" t="s">
        <v>6</v>
      </c>
      <c r="B133" s="1" t="s">
        <v>220</v>
      </c>
      <c r="C133" s="1" t="s">
        <v>118</v>
      </c>
      <c r="D133" s="2">
        <v>45817</v>
      </c>
      <c r="E133" s="3">
        <f t="shared" si="23"/>
        <v>201.5</v>
      </c>
      <c r="F133" s="1" t="s">
        <v>125</v>
      </c>
      <c r="I133" s="2">
        <v>45948</v>
      </c>
      <c r="K133" s="6">
        <f t="shared" si="16"/>
        <v>201.5</v>
      </c>
      <c r="L133" s="1">
        <f t="shared" si="24"/>
        <v>1</v>
      </c>
      <c r="M133" s="1">
        <v>1</v>
      </c>
    </row>
    <row r="134" spans="1:13" x14ac:dyDescent="0.45">
      <c r="A134" s="1" t="s">
        <v>6</v>
      </c>
      <c r="B134" s="1" t="s">
        <v>274</v>
      </c>
      <c r="C134" s="1" t="s">
        <v>118</v>
      </c>
      <c r="D134" s="2">
        <v>45606</v>
      </c>
      <c r="E134" s="3">
        <f>622/4</f>
        <v>155.5</v>
      </c>
      <c r="F134" s="1" t="s">
        <v>125</v>
      </c>
      <c r="G134" s="3">
        <f>-566/4</f>
        <v>-141.5</v>
      </c>
      <c r="H134" s="2">
        <v>45955</v>
      </c>
      <c r="J134" s="1" t="s">
        <v>277</v>
      </c>
      <c r="K134" s="6">
        <f t="shared" si="16"/>
        <v>14</v>
      </c>
      <c r="L134" s="1">
        <f t="shared" si="24"/>
        <v>1</v>
      </c>
      <c r="M134" s="1">
        <v>1</v>
      </c>
    </row>
    <row r="135" spans="1:13" x14ac:dyDescent="0.45">
      <c r="A135" s="1" t="s">
        <v>6</v>
      </c>
      <c r="B135" s="1" t="s">
        <v>275</v>
      </c>
      <c r="C135" s="1" t="s">
        <v>118</v>
      </c>
      <c r="D135" s="2">
        <v>45606</v>
      </c>
      <c r="E135" s="3">
        <f t="shared" ref="E135:E137" si="25">622/4</f>
        <v>155.5</v>
      </c>
      <c r="F135" s="1" t="s">
        <v>125</v>
      </c>
      <c r="G135" s="3">
        <f t="shared" ref="G135:G137" si="26">-566/4</f>
        <v>-141.5</v>
      </c>
      <c r="H135" s="2">
        <v>45955</v>
      </c>
      <c r="I135" s="2">
        <v>45904</v>
      </c>
      <c r="J135" s="1" t="s">
        <v>277</v>
      </c>
      <c r="K135" s="6">
        <f t="shared" ref="K135:K204" si="27">E135+G135</f>
        <v>14</v>
      </c>
      <c r="L135" s="1">
        <f t="shared" si="24"/>
        <v>1</v>
      </c>
      <c r="M135" s="1">
        <v>1</v>
      </c>
    </row>
    <row r="136" spans="1:13" x14ac:dyDescent="0.45">
      <c r="A136" s="1" t="s">
        <v>6</v>
      </c>
      <c r="B136" s="1" t="s">
        <v>276</v>
      </c>
      <c r="C136" s="1" t="s">
        <v>118</v>
      </c>
      <c r="D136" s="2">
        <v>45606</v>
      </c>
      <c r="E136" s="3">
        <f t="shared" si="25"/>
        <v>155.5</v>
      </c>
      <c r="F136" s="1" t="s">
        <v>125</v>
      </c>
      <c r="G136" s="3">
        <f t="shared" si="26"/>
        <v>-141.5</v>
      </c>
      <c r="H136" s="2">
        <v>45955</v>
      </c>
      <c r="I136" s="2">
        <v>45912</v>
      </c>
      <c r="J136" s="1" t="s">
        <v>277</v>
      </c>
      <c r="K136" s="6">
        <f t="shared" si="27"/>
        <v>14</v>
      </c>
      <c r="L136" s="1">
        <f t="shared" si="24"/>
        <v>1</v>
      </c>
      <c r="M136" s="1">
        <v>1</v>
      </c>
    </row>
    <row r="137" spans="1:13" x14ac:dyDescent="0.45">
      <c r="A137" s="1" t="s">
        <v>6</v>
      </c>
      <c r="B137" s="1" t="s">
        <v>375</v>
      </c>
      <c r="C137" s="1" t="s">
        <v>118</v>
      </c>
      <c r="D137" s="2">
        <v>45606</v>
      </c>
      <c r="E137" s="3">
        <f t="shared" si="25"/>
        <v>155.5</v>
      </c>
      <c r="F137" s="1" t="s">
        <v>125</v>
      </c>
      <c r="G137" s="3">
        <f t="shared" si="26"/>
        <v>-141.5</v>
      </c>
      <c r="H137" s="2">
        <v>45955</v>
      </c>
      <c r="I137" s="2">
        <v>45921</v>
      </c>
      <c r="J137" s="1" t="s">
        <v>277</v>
      </c>
      <c r="K137" s="6">
        <f t="shared" si="27"/>
        <v>14</v>
      </c>
      <c r="L137" s="1">
        <f t="shared" si="24"/>
        <v>1</v>
      </c>
      <c r="M137" s="1">
        <v>1</v>
      </c>
    </row>
    <row r="138" spans="1:13" x14ac:dyDescent="0.45">
      <c r="A138" s="1" t="s">
        <v>6</v>
      </c>
      <c r="B138" s="1" t="s">
        <v>339</v>
      </c>
      <c r="C138" s="1" t="s">
        <v>118</v>
      </c>
      <c r="D138" s="2">
        <v>45425</v>
      </c>
      <c r="E138" s="3">
        <f>519/2</f>
        <v>259.5</v>
      </c>
      <c r="F138" s="1" t="s">
        <v>273</v>
      </c>
      <c r="G138" s="1">
        <f>-352/2</f>
        <v>-176</v>
      </c>
      <c r="K138" s="6">
        <f t="shared" si="27"/>
        <v>83.5</v>
      </c>
      <c r="L138" s="1">
        <f t="shared" si="24"/>
        <v>1</v>
      </c>
      <c r="M138" s="1">
        <v>1</v>
      </c>
    </row>
    <row r="139" spans="1:13" x14ac:dyDescent="0.45">
      <c r="A139" s="1" t="s">
        <v>6</v>
      </c>
      <c r="B139" s="1" t="s">
        <v>340</v>
      </c>
      <c r="C139" s="1" t="s">
        <v>118</v>
      </c>
      <c r="D139" s="2">
        <v>45425</v>
      </c>
      <c r="E139" s="3">
        <f>519/2</f>
        <v>259.5</v>
      </c>
      <c r="F139" s="1" t="s">
        <v>273</v>
      </c>
      <c r="G139" s="1">
        <f>-352/2</f>
        <v>-176</v>
      </c>
      <c r="K139" s="6">
        <f t="shared" si="27"/>
        <v>83.5</v>
      </c>
      <c r="L139" s="1">
        <f t="shared" si="24"/>
        <v>1</v>
      </c>
      <c r="M139" s="1">
        <v>1</v>
      </c>
    </row>
    <row r="140" spans="1:13" x14ac:dyDescent="0.45">
      <c r="A140" s="1" t="s">
        <v>6</v>
      </c>
      <c r="B140" s="1" t="s">
        <v>355</v>
      </c>
      <c r="C140" s="1" t="s">
        <v>118</v>
      </c>
      <c r="D140" s="2">
        <v>45102</v>
      </c>
      <c r="E140" s="3">
        <f>781/5</f>
        <v>156.19999999999999</v>
      </c>
      <c r="F140" s="1" t="s">
        <v>360</v>
      </c>
      <c r="G140" s="1">
        <f>-615/5</f>
        <v>-123</v>
      </c>
      <c r="K140" s="6">
        <f t="shared" si="27"/>
        <v>33.199999999999989</v>
      </c>
      <c r="L140" s="1">
        <f t="shared" si="24"/>
        <v>1</v>
      </c>
      <c r="M140" s="1">
        <v>1</v>
      </c>
    </row>
    <row r="141" spans="1:13" x14ac:dyDescent="0.45">
      <c r="A141" s="1" t="s">
        <v>6</v>
      </c>
      <c r="B141" s="1" t="s">
        <v>356</v>
      </c>
      <c r="C141" s="1" t="s">
        <v>118</v>
      </c>
      <c r="D141" s="2">
        <v>45102</v>
      </c>
      <c r="E141" s="3">
        <f t="shared" ref="E141:E144" si="28">781/5</f>
        <v>156.19999999999999</v>
      </c>
      <c r="F141" s="1" t="s">
        <v>360</v>
      </c>
      <c r="G141" s="1">
        <f t="shared" ref="G141:G144" si="29">-615/5</f>
        <v>-123</v>
      </c>
      <c r="K141" s="6">
        <f t="shared" si="27"/>
        <v>33.199999999999989</v>
      </c>
      <c r="L141" s="1">
        <f t="shared" si="24"/>
        <v>1</v>
      </c>
      <c r="M141" s="1">
        <v>1</v>
      </c>
    </row>
    <row r="142" spans="1:13" x14ac:dyDescent="0.45">
      <c r="A142" s="1" t="s">
        <v>6</v>
      </c>
      <c r="B142" s="1" t="s">
        <v>357</v>
      </c>
      <c r="C142" s="1" t="s">
        <v>118</v>
      </c>
      <c r="D142" s="2">
        <v>45102</v>
      </c>
      <c r="E142" s="3">
        <f t="shared" si="28"/>
        <v>156.19999999999999</v>
      </c>
      <c r="F142" s="1" t="s">
        <v>360</v>
      </c>
      <c r="G142" s="1">
        <f t="shared" si="29"/>
        <v>-123</v>
      </c>
      <c r="K142" s="6">
        <f t="shared" si="27"/>
        <v>33.199999999999989</v>
      </c>
      <c r="L142" s="1">
        <f t="shared" si="24"/>
        <v>1</v>
      </c>
      <c r="M142" s="1">
        <v>1</v>
      </c>
    </row>
    <row r="143" spans="1:13" x14ac:dyDescent="0.45">
      <c r="A143" s="1" t="s">
        <v>6</v>
      </c>
      <c r="B143" s="1" t="s">
        <v>358</v>
      </c>
      <c r="C143" s="1" t="s">
        <v>118</v>
      </c>
      <c r="D143" s="2">
        <v>45102</v>
      </c>
      <c r="E143" s="3">
        <f t="shared" si="28"/>
        <v>156.19999999999999</v>
      </c>
      <c r="F143" s="1" t="s">
        <v>360</v>
      </c>
      <c r="G143" s="1">
        <f t="shared" si="29"/>
        <v>-123</v>
      </c>
      <c r="K143" s="6">
        <f t="shared" si="27"/>
        <v>33.199999999999989</v>
      </c>
      <c r="L143" s="1">
        <f t="shared" si="24"/>
        <v>1</v>
      </c>
      <c r="M143" s="1">
        <v>1</v>
      </c>
    </row>
    <row r="144" spans="1:13" x14ac:dyDescent="0.45">
      <c r="A144" s="1" t="s">
        <v>6</v>
      </c>
      <c r="B144" s="1" t="s">
        <v>359</v>
      </c>
      <c r="C144" s="1" t="s">
        <v>118</v>
      </c>
      <c r="D144" s="2">
        <v>45102</v>
      </c>
      <c r="E144" s="3">
        <f t="shared" si="28"/>
        <v>156.19999999999999</v>
      </c>
      <c r="F144" s="1" t="s">
        <v>360</v>
      </c>
      <c r="G144" s="1">
        <f t="shared" si="29"/>
        <v>-123</v>
      </c>
      <c r="K144" s="6">
        <f t="shared" si="27"/>
        <v>33.199999999999989</v>
      </c>
      <c r="L144" s="1">
        <f t="shared" si="24"/>
        <v>1</v>
      </c>
      <c r="M144" s="1">
        <v>1</v>
      </c>
    </row>
    <row r="145" spans="1:13" x14ac:dyDescent="0.45">
      <c r="A145" s="1" t="s">
        <v>6</v>
      </c>
      <c r="B145" s="1" t="s">
        <v>366</v>
      </c>
      <c r="C145" s="1" t="s">
        <v>118</v>
      </c>
      <c r="D145" s="2">
        <v>45168</v>
      </c>
      <c r="E145" s="3">
        <f>964/5</f>
        <v>192.8</v>
      </c>
      <c r="F145" s="1" t="s">
        <v>6</v>
      </c>
      <c r="G145" s="3">
        <f>-777/5</f>
        <v>-155.4</v>
      </c>
      <c r="H145" s="2">
        <v>45965</v>
      </c>
      <c r="I145" s="2">
        <v>45902</v>
      </c>
      <c r="K145" s="6">
        <f t="shared" si="27"/>
        <v>37.400000000000006</v>
      </c>
      <c r="L145" s="1">
        <f t="shared" si="24"/>
        <v>1</v>
      </c>
      <c r="M145" s="1">
        <v>1</v>
      </c>
    </row>
    <row r="146" spans="1:13" x14ac:dyDescent="0.45">
      <c r="A146" s="1" t="s">
        <v>6</v>
      </c>
      <c r="B146" s="1" t="s">
        <v>367</v>
      </c>
      <c r="C146" s="1" t="s">
        <v>118</v>
      </c>
      <c r="D146" s="2">
        <v>45168</v>
      </c>
      <c r="E146" s="3">
        <f>964/5</f>
        <v>192.8</v>
      </c>
      <c r="F146" s="1" t="s">
        <v>6</v>
      </c>
      <c r="G146" s="3">
        <f t="shared" ref="G146:G149" si="30">-777/5</f>
        <v>-155.4</v>
      </c>
      <c r="H146" s="2">
        <v>45965</v>
      </c>
      <c r="I146" s="2">
        <v>45921</v>
      </c>
      <c r="K146" s="6">
        <f t="shared" si="27"/>
        <v>37.400000000000006</v>
      </c>
      <c r="L146" s="1">
        <f t="shared" si="24"/>
        <v>1</v>
      </c>
      <c r="M146" s="1">
        <v>1</v>
      </c>
    </row>
    <row r="147" spans="1:13" x14ac:dyDescent="0.45">
      <c r="A147" s="1" t="s">
        <v>6</v>
      </c>
      <c r="B147" s="1" t="s">
        <v>368</v>
      </c>
      <c r="C147" s="1" t="s">
        <v>118</v>
      </c>
      <c r="D147" s="2">
        <v>45168</v>
      </c>
      <c r="E147" s="3">
        <f>964/5</f>
        <v>192.8</v>
      </c>
      <c r="F147" s="1" t="s">
        <v>6</v>
      </c>
      <c r="G147" s="3">
        <f t="shared" si="30"/>
        <v>-155.4</v>
      </c>
      <c r="H147" s="2">
        <v>45965</v>
      </c>
      <c r="I147" s="2">
        <v>45928</v>
      </c>
      <c r="K147" s="6">
        <f t="shared" si="27"/>
        <v>37.400000000000006</v>
      </c>
      <c r="L147" s="1">
        <f t="shared" si="24"/>
        <v>1</v>
      </c>
      <c r="M147" s="1">
        <v>1</v>
      </c>
    </row>
    <row r="148" spans="1:13" x14ac:dyDescent="0.45">
      <c r="A148" s="1" t="s">
        <v>6</v>
      </c>
      <c r="B148" s="1" t="s">
        <v>369</v>
      </c>
      <c r="C148" s="1" t="s">
        <v>118</v>
      </c>
      <c r="D148" s="2">
        <v>45168</v>
      </c>
      <c r="E148" s="3">
        <f>964/5</f>
        <v>192.8</v>
      </c>
      <c r="F148" s="1" t="s">
        <v>6</v>
      </c>
      <c r="G148" s="3">
        <f t="shared" si="30"/>
        <v>-155.4</v>
      </c>
      <c r="H148" s="2">
        <v>45965</v>
      </c>
      <c r="I148" s="2">
        <v>45929</v>
      </c>
      <c r="K148" s="6">
        <f t="shared" si="27"/>
        <v>37.400000000000006</v>
      </c>
      <c r="L148" s="1">
        <f t="shared" si="24"/>
        <v>1</v>
      </c>
      <c r="M148" s="1">
        <v>1</v>
      </c>
    </row>
    <row r="149" spans="1:13" x14ac:dyDescent="0.45">
      <c r="A149" s="1" t="s">
        <v>6</v>
      </c>
      <c r="B149" s="1" t="s">
        <v>370</v>
      </c>
      <c r="C149" s="1" t="s">
        <v>118</v>
      </c>
      <c r="D149" s="2">
        <v>45168</v>
      </c>
      <c r="E149" s="3">
        <f>964/5</f>
        <v>192.8</v>
      </c>
      <c r="F149" s="1" t="s">
        <v>6</v>
      </c>
      <c r="G149" s="3">
        <f t="shared" si="30"/>
        <v>-155.4</v>
      </c>
      <c r="H149" s="2">
        <v>45965</v>
      </c>
      <c r="I149" s="2">
        <v>45933</v>
      </c>
      <c r="K149" s="6">
        <f t="shared" si="27"/>
        <v>37.400000000000006</v>
      </c>
      <c r="L149" s="1">
        <f t="shared" si="24"/>
        <v>1</v>
      </c>
      <c r="M149" s="1">
        <v>1</v>
      </c>
    </row>
    <row r="150" spans="1:13" x14ac:dyDescent="0.45">
      <c r="A150" s="1" t="s">
        <v>128</v>
      </c>
      <c r="B150" s="1" t="s">
        <v>241</v>
      </c>
      <c r="C150" s="1" t="s">
        <v>118</v>
      </c>
      <c r="D150" s="2">
        <v>45950</v>
      </c>
      <c r="E150" s="3">
        <v>0</v>
      </c>
      <c r="F150" s="1" t="s">
        <v>184</v>
      </c>
      <c r="K150" s="6">
        <f t="shared" si="27"/>
        <v>0</v>
      </c>
      <c r="L150" s="1">
        <f t="shared" si="24"/>
        <v>1</v>
      </c>
      <c r="M150" s="1">
        <v>1</v>
      </c>
    </row>
    <row r="151" spans="1:13" x14ac:dyDescent="0.45">
      <c r="A151" s="1" t="s">
        <v>128</v>
      </c>
      <c r="B151" s="1" t="s">
        <v>525</v>
      </c>
      <c r="D151" s="2">
        <v>45950</v>
      </c>
      <c r="E151" s="3">
        <v>0</v>
      </c>
      <c r="F151" s="1" t="s">
        <v>184</v>
      </c>
      <c r="K151" s="6">
        <f t="shared" ref="K151" si="31">E151+G151</f>
        <v>0</v>
      </c>
      <c r="L151" s="1" t="str">
        <f t="shared" si="24"/>
        <v/>
      </c>
      <c r="M151" s="1">
        <v>1</v>
      </c>
    </row>
    <row r="152" spans="1:13" x14ac:dyDescent="0.45">
      <c r="A152" s="1" t="s">
        <v>128</v>
      </c>
      <c r="B152" s="1" t="s">
        <v>129</v>
      </c>
      <c r="D152" s="2">
        <v>45950</v>
      </c>
      <c r="E152" s="3">
        <f>(1003-100)/4-50/10</f>
        <v>220.75</v>
      </c>
      <c r="F152" s="1" t="s">
        <v>184</v>
      </c>
      <c r="J152" s="1" t="s">
        <v>524</v>
      </c>
      <c r="K152" s="6">
        <f t="shared" si="27"/>
        <v>220.75</v>
      </c>
      <c r="L152" s="1" t="str">
        <f t="shared" si="24"/>
        <v/>
      </c>
      <c r="M152" s="1">
        <v>1</v>
      </c>
    </row>
    <row r="153" spans="1:13" x14ac:dyDescent="0.45">
      <c r="A153" s="1" t="s">
        <v>128</v>
      </c>
      <c r="B153" s="1" t="s">
        <v>130</v>
      </c>
      <c r="D153" s="2">
        <v>45950</v>
      </c>
      <c r="E153" s="3">
        <f t="shared" ref="E153:E155" si="32">(1003-100)/4-50/10</f>
        <v>220.75</v>
      </c>
      <c r="F153" s="1" t="s">
        <v>184</v>
      </c>
      <c r="J153" s="1" t="s">
        <v>524</v>
      </c>
      <c r="K153" s="6">
        <f t="shared" si="27"/>
        <v>220.75</v>
      </c>
      <c r="L153" s="1" t="str">
        <f t="shared" si="24"/>
        <v/>
      </c>
      <c r="M153" s="1">
        <v>1</v>
      </c>
    </row>
    <row r="154" spans="1:13" x14ac:dyDescent="0.45">
      <c r="A154" s="1" t="s">
        <v>128</v>
      </c>
      <c r="B154" s="1" t="s">
        <v>131</v>
      </c>
      <c r="D154" s="2">
        <v>45950</v>
      </c>
      <c r="E154" s="3">
        <f t="shared" si="32"/>
        <v>220.75</v>
      </c>
      <c r="F154" s="1" t="s">
        <v>184</v>
      </c>
      <c r="J154" s="1" t="s">
        <v>524</v>
      </c>
      <c r="K154" s="6">
        <f t="shared" si="27"/>
        <v>220.75</v>
      </c>
      <c r="L154" s="1" t="str">
        <f t="shared" si="24"/>
        <v/>
      </c>
      <c r="M154" s="1">
        <v>1</v>
      </c>
    </row>
    <row r="155" spans="1:13" x14ac:dyDescent="0.45">
      <c r="A155" s="1" t="s">
        <v>128</v>
      </c>
      <c r="B155" s="1" t="s">
        <v>132</v>
      </c>
      <c r="D155" s="2">
        <v>45950</v>
      </c>
      <c r="E155" s="3">
        <f t="shared" si="32"/>
        <v>220.75</v>
      </c>
      <c r="F155" s="1" t="s">
        <v>184</v>
      </c>
      <c r="J155" s="1" t="s">
        <v>524</v>
      </c>
      <c r="K155" s="6">
        <f t="shared" si="27"/>
        <v>220.75</v>
      </c>
      <c r="L155" s="1" t="str">
        <f t="shared" si="24"/>
        <v/>
      </c>
      <c r="M155" s="1">
        <v>1</v>
      </c>
    </row>
    <row r="156" spans="1:13" x14ac:dyDescent="0.45">
      <c r="A156" s="1" t="s">
        <v>128</v>
      </c>
      <c r="B156" s="1" t="s">
        <v>581</v>
      </c>
      <c r="C156" s="1" t="s">
        <v>582</v>
      </c>
      <c r="D156" s="2">
        <v>45950</v>
      </c>
      <c r="E156" s="3">
        <f>(693-70)/3-50/10</f>
        <v>202.66666666666666</v>
      </c>
      <c r="F156" s="1" t="s">
        <v>184</v>
      </c>
      <c r="I156" s="2">
        <v>46019</v>
      </c>
      <c r="J156" s="1" t="s">
        <v>524</v>
      </c>
      <c r="K156" s="6">
        <f t="shared" si="27"/>
        <v>202.66666666666666</v>
      </c>
      <c r="L156" s="1">
        <f t="shared" si="24"/>
        <v>1</v>
      </c>
      <c r="M156" s="1">
        <v>1</v>
      </c>
    </row>
    <row r="157" spans="1:13" x14ac:dyDescent="0.45">
      <c r="A157" s="1" t="s">
        <v>128</v>
      </c>
      <c r="B157" s="1" t="s">
        <v>583</v>
      </c>
      <c r="C157" s="1" t="s">
        <v>584</v>
      </c>
      <c r="D157" s="2">
        <v>45950</v>
      </c>
      <c r="E157" s="3">
        <f t="shared" ref="E157:E158" si="33">(693-70)/3-50/10</f>
        <v>202.66666666666666</v>
      </c>
      <c r="F157" s="1" t="s">
        <v>184</v>
      </c>
      <c r="I157" s="2">
        <v>46023</v>
      </c>
      <c r="J157" s="1" t="s">
        <v>524</v>
      </c>
      <c r="K157" s="6">
        <f t="shared" si="27"/>
        <v>202.66666666666666</v>
      </c>
      <c r="L157" s="1">
        <f t="shared" si="24"/>
        <v>1</v>
      </c>
      <c r="M157" s="1">
        <v>1</v>
      </c>
    </row>
    <row r="158" spans="1:13" x14ac:dyDescent="0.45">
      <c r="A158" s="1" t="s">
        <v>128</v>
      </c>
      <c r="B158" s="1" t="s">
        <v>654</v>
      </c>
      <c r="C158" s="1" t="s">
        <v>652</v>
      </c>
      <c r="D158" s="2">
        <v>45950</v>
      </c>
      <c r="E158" s="3">
        <f t="shared" si="33"/>
        <v>202.66666666666666</v>
      </c>
      <c r="F158" s="1" t="s">
        <v>184</v>
      </c>
      <c r="I158" s="2">
        <v>46098</v>
      </c>
      <c r="J158" s="1" t="s">
        <v>524</v>
      </c>
      <c r="K158" s="6">
        <f t="shared" si="27"/>
        <v>202.66666666666666</v>
      </c>
      <c r="L158" s="1">
        <f t="shared" si="24"/>
        <v>1</v>
      </c>
      <c r="M158" s="1">
        <v>1</v>
      </c>
    </row>
    <row r="159" spans="1:13" x14ac:dyDescent="0.45">
      <c r="A159" s="1" t="s">
        <v>128</v>
      </c>
      <c r="B159" s="1" t="s">
        <v>133</v>
      </c>
      <c r="D159" s="2">
        <v>45950</v>
      </c>
      <c r="E159" s="1">
        <f>(693-69)/3-50/10</f>
        <v>203</v>
      </c>
      <c r="F159" s="1" t="s">
        <v>184</v>
      </c>
      <c r="J159" s="1" t="s">
        <v>524</v>
      </c>
      <c r="K159" s="6">
        <f t="shared" si="27"/>
        <v>203</v>
      </c>
      <c r="L159" s="1" t="str">
        <f t="shared" si="24"/>
        <v/>
      </c>
      <c r="M159" s="1">
        <v>1</v>
      </c>
    </row>
    <row r="160" spans="1:13" x14ac:dyDescent="0.45">
      <c r="A160" s="1" t="s">
        <v>128</v>
      </c>
      <c r="B160" s="1" t="s">
        <v>134</v>
      </c>
      <c r="D160" s="2">
        <v>45950</v>
      </c>
      <c r="E160" s="1">
        <f t="shared" ref="E160:E161" si="34">(693-69)/3-50/10</f>
        <v>203</v>
      </c>
      <c r="F160" s="1" t="s">
        <v>184</v>
      </c>
      <c r="J160" s="1" t="s">
        <v>524</v>
      </c>
      <c r="K160" s="6">
        <f t="shared" si="27"/>
        <v>203</v>
      </c>
      <c r="L160" s="1" t="str">
        <f t="shared" si="24"/>
        <v/>
      </c>
      <c r="M160" s="1">
        <v>1</v>
      </c>
    </row>
    <row r="161" spans="1:13" x14ac:dyDescent="0.45">
      <c r="A161" s="1" t="s">
        <v>128</v>
      </c>
      <c r="B161" s="1" t="s">
        <v>577</v>
      </c>
      <c r="C161" s="1" t="s">
        <v>578</v>
      </c>
      <c r="D161" s="2">
        <v>45950</v>
      </c>
      <c r="E161" s="1">
        <f t="shared" si="34"/>
        <v>203</v>
      </c>
      <c r="F161" s="1" t="s">
        <v>184</v>
      </c>
      <c r="I161" s="2">
        <v>46015</v>
      </c>
      <c r="J161" s="1" t="s">
        <v>524</v>
      </c>
      <c r="K161" s="6">
        <f t="shared" si="27"/>
        <v>203</v>
      </c>
      <c r="L161" s="1">
        <f t="shared" si="24"/>
        <v>1</v>
      </c>
      <c r="M161" s="1">
        <v>1</v>
      </c>
    </row>
    <row r="162" spans="1:13" x14ac:dyDescent="0.45">
      <c r="A162" s="1" t="s">
        <v>128</v>
      </c>
      <c r="B162" s="1" t="s">
        <v>263</v>
      </c>
      <c r="C162" s="1" t="s">
        <v>118</v>
      </c>
      <c r="D162" s="2">
        <v>45754</v>
      </c>
      <c r="E162" s="3">
        <f>640/4*0.72</f>
        <v>115.19999999999999</v>
      </c>
      <c r="F162" s="1" t="s">
        <v>162</v>
      </c>
      <c r="K162" s="6">
        <f t="shared" si="27"/>
        <v>115.19999999999999</v>
      </c>
      <c r="L162" s="1">
        <f t="shared" si="24"/>
        <v>1</v>
      </c>
      <c r="M162" s="1">
        <v>1</v>
      </c>
    </row>
    <row r="163" spans="1:13" x14ac:dyDescent="0.45">
      <c r="A163" s="1" t="s">
        <v>128</v>
      </c>
      <c r="B163" s="1" t="s">
        <v>264</v>
      </c>
      <c r="C163" s="1" t="s">
        <v>550</v>
      </c>
      <c r="D163" s="2">
        <v>45754</v>
      </c>
      <c r="E163" s="3">
        <f t="shared" ref="E163:E165" si="35">640/4*0.72</f>
        <v>115.19999999999999</v>
      </c>
      <c r="F163" s="1" t="s">
        <v>162</v>
      </c>
      <c r="I163" s="2">
        <v>46009</v>
      </c>
      <c r="K163" s="6">
        <f t="shared" si="27"/>
        <v>115.19999999999999</v>
      </c>
      <c r="L163" s="1">
        <f t="shared" si="24"/>
        <v>1</v>
      </c>
      <c r="M163" s="1">
        <v>1</v>
      </c>
    </row>
    <row r="164" spans="1:13" x14ac:dyDescent="0.45">
      <c r="A164" s="1" t="s">
        <v>128</v>
      </c>
      <c r="B164" s="1" t="s">
        <v>265</v>
      </c>
      <c r="D164" s="2">
        <v>45754</v>
      </c>
      <c r="E164" s="3">
        <f t="shared" si="35"/>
        <v>115.19999999999999</v>
      </c>
      <c r="F164" s="1" t="s">
        <v>162</v>
      </c>
      <c r="K164" s="6">
        <f t="shared" si="27"/>
        <v>115.19999999999999</v>
      </c>
      <c r="L164" s="1" t="str">
        <f t="shared" si="24"/>
        <v/>
      </c>
      <c r="M164" s="1">
        <v>1</v>
      </c>
    </row>
    <row r="165" spans="1:13" x14ac:dyDescent="0.45">
      <c r="A165" s="1" t="s">
        <v>128</v>
      </c>
      <c r="B165" s="1" t="s">
        <v>266</v>
      </c>
      <c r="D165" s="2">
        <v>45754</v>
      </c>
      <c r="E165" s="3">
        <f t="shared" si="35"/>
        <v>115.19999999999999</v>
      </c>
      <c r="F165" s="1" t="s">
        <v>162</v>
      </c>
      <c r="K165" s="6">
        <f t="shared" si="27"/>
        <v>115.19999999999999</v>
      </c>
      <c r="L165" s="1" t="str">
        <f t="shared" si="24"/>
        <v/>
      </c>
      <c r="M165" s="1">
        <v>1</v>
      </c>
    </row>
    <row r="166" spans="1:13" x14ac:dyDescent="0.45">
      <c r="A166" s="1" t="s">
        <v>128</v>
      </c>
      <c r="B166" s="1" t="s">
        <v>327</v>
      </c>
      <c r="C166" s="1" t="s">
        <v>118</v>
      </c>
      <c r="D166" s="2">
        <v>45480</v>
      </c>
      <c r="E166" s="3">
        <f>1045/5</f>
        <v>209</v>
      </c>
      <c r="F166" s="1" t="s">
        <v>125</v>
      </c>
      <c r="K166" s="6">
        <f t="shared" si="27"/>
        <v>209</v>
      </c>
      <c r="L166" s="1">
        <f t="shared" si="24"/>
        <v>1</v>
      </c>
      <c r="M166" s="1">
        <v>1</v>
      </c>
    </row>
    <row r="167" spans="1:13" x14ac:dyDescent="0.45">
      <c r="A167" s="1" t="s">
        <v>128</v>
      </c>
      <c r="B167" s="1" t="s">
        <v>328</v>
      </c>
      <c r="C167" s="1" t="s">
        <v>118</v>
      </c>
      <c r="D167" s="2">
        <v>45480</v>
      </c>
      <c r="E167" s="3">
        <f t="shared" ref="E167:E170" si="36">1045/5</f>
        <v>209</v>
      </c>
      <c r="F167" s="1" t="s">
        <v>125</v>
      </c>
      <c r="K167" s="6">
        <f t="shared" si="27"/>
        <v>209</v>
      </c>
      <c r="L167" s="1">
        <f t="shared" si="24"/>
        <v>1</v>
      </c>
      <c r="M167" s="1">
        <v>1</v>
      </c>
    </row>
    <row r="168" spans="1:13" x14ac:dyDescent="0.45">
      <c r="A168" s="1" t="s">
        <v>128</v>
      </c>
      <c r="B168" s="1" t="s">
        <v>329</v>
      </c>
      <c r="D168" s="2">
        <v>45480</v>
      </c>
      <c r="E168" s="3">
        <f t="shared" si="36"/>
        <v>209</v>
      </c>
      <c r="F168" s="1" t="s">
        <v>125</v>
      </c>
      <c r="K168" s="6">
        <f t="shared" si="27"/>
        <v>209</v>
      </c>
      <c r="L168" s="1" t="str">
        <f t="shared" si="24"/>
        <v/>
      </c>
      <c r="M168" s="1">
        <v>1</v>
      </c>
    </row>
    <row r="169" spans="1:13" x14ac:dyDescent="0.45">
      <c r="A169" s="1" t="s">
        <v>128</v>
      </c>
      <c r="B169" s="1" t="s">
        <v>330</v>
      </c>
      <c r="D169" s="2">
        <v>45480</v>
      </c>
      <c r="E169" s="3">
        <f t="shared" si="36"/>
        <v>209</v>
      </c>
      <c r="F169" s="1" t="s">
        <v>125</v>
      </c>
      <c r="K169" s="6">
        <f t="shared" si="27"/>
        <v>209</v>
      </c>
      <c r="L169" s="1" t="str">
        <f t="shared" si="24"/>
        <v/>
      </c>
      <c r="M169" s="1">
        <v>1</v>
      </c>
    </row>
    <row r="170" spans="1:13" x14ac:dyDescent="0.45">
      <c r="A170" s="1" t="s">
        <v>128</v>
      </c>
      <c r="B170" s="1" t="s">
        <v>331</v>
      </c>
      <c r="D170" s="2">
        <v>45480</v>
      </c>
      <c r="E170" s="3">
        <f t="shared" si="36"/>
        <v>209</v>
      </c>
      <c r="F170" s="1" t="s">
        <v>125</v>
      </c>
      <c r="K170" s="6">
        <f t="shared" si="27"/>
        <v>209</v>
      </c>
      <c r="L170" s="1" t="str">
        <f t="shared" si="24"/>
        <v/>
      </c>
      <c r="M170" s="1">
        <v>1</v>
      </c>
    </row>
    <row r="171" spans="1:13" x14ac:dyDescent="0.45">
      <c r="A171" s="1" t="s">
        <v>135</v>
      </c>
      <c r="B171" s="1" t="s">
        <v>136</v>
      </c>
      <c r="C171" s="1" t="s">
        <v>118</v>
      </c>
      <c r="D171" s="2">
        <v>45145</v>
      </c>
      <c r="E171" s="3">
        <f>986/5</f>
        <v>197.2</v>
      </c>
      <c r="F171" s="1" t="s">
        <v>162</v>
      </c>
      <c r="K171" s="6">
        <f t="shared" si="27"/>
        <v>197.2</v>
      </c>
      <c r="L171" s="1">
        <f t="shared" si="24"/>
        <v>1</v>
      </c>
      <c r="M171" s="1">
        <v>1</v>
      </c>
    </row>
    <row r="172" spans="1:13" x14ac:dyDescent="0.45">
      <c r="A172" s="1" t="s">
        <v>135</v>
      </c>
      <c r="B172" s="1" t="s">
        <v>137</v>
      </c>
      <c r="C172" s="1" t="s">
        <v>118</v>
      </c>
      <c r="D172" s="2">
        <v>45145</v>
      </c>
      <c r="E172" s="3">
        <f t="shared" ref="E172:E175" si="37">986/5</f>
        <v>197.2</v>
      </c>
      <c r="F172" s="1" t="s">
        <v>162</v>
      </c>
      <c r="K172" s="6">
        <f t="shared" si="27"/>
        <v>197.2</v>
      </c>
      <c r="L172" s="1">
        <f t="shared" si="24"/>
        <v>1</v>
      </c>
      <c r="M172" s="1">
        <v>1</v>
      </c>
    </row>
    <row r="173" spans="1:13" x14ac:dyDescent="0.45">
      <c r="A173" s="1" t="s">
        <v>135</v>
      </c>
      <c r="B173" s="1" t="s">
        <v>138</v>
      </c>
      <c r="C173" s="1" t="s">
        <v>118</v>
      </c>
      <c r="D173" s="2">
        <v>45145</v>
      </c>
      <c r="E173" s="3">
        <f t="shared" si="37"/>
        <v>197.2</v>
      </c>
      <c r="F173" s="1" t="s">
        <v>162</v>
      </c>
      <c r="K173" s="6">
        <f t="shared" si="27"/>
        <v>197.2</v>
      </c>
      <c r="L173" s="1">
        <f t="shared" si="24"/>
        <v>1</v>
      </c>
      <c r="M173" s="1">
        <v>1</v>
      </c>
    </row>
    <row r="174" spans="1:13" x14ac:dyDescent="0.45">
      <c r="A174" s="1" t="s">
        <v>135</v>
      </c>
      <c r="B174" s="1" t="s">
        <v>139</v>
      </c>
      <c r="C174" s="1" t="s">
        <v>118</v>
      </c>
      <c r="D174" s="2">
        <v>45145</v>
      </c>
      <c r="E174" s="3">
        <f t="shared" si="37"/>
        <v>197.2</v>
      </c>
      <c r="F174" s="1" t="s">
        <v>162</v>
      </c>
      <c r="K174" s="6">
        <f t="shared" si="27"/>
        <v>197.2</v>
      </c>
      <c r="L174" s="1">
        <f t="shared" si="24"/>
        <v>1</v>
      </c>
      <c r="M174" s="1">
        <v>1</v>
      </c>
    </row>
    <row r="175" spans="1:13" x14ac:dyDescent="0.45">
      <c r="A175" s="1" t="s">
        <v>135</v>
      </c>
      <c r="B175" s="1" t="s">
        <v>140</v>
      </c>
      <c r="C175" s="1" t="s">
        <v>118</v>
      </c>
      <c r="D175" s="2">
        <v>45145</v>
      </c>
      <c r="E175" s="3">
        <f t="shared" si="37"/>
        <v>197.2</v>
      </c>
      <c r="F175" s="1" t="s">
        <v>162</v>
      </c>
      <c r="K175" s="6">
        <f t="shared" si="27"/>
        <v>197.2</v>
      </c>
      <c r="L175" s="1">
        <f t="shared" si="24"/>
        <v>1</v>
      </c>
      <c r="M175" s="1">
        <v>1</v>
      </c>
    </row>
    <row r="176" spans="1:13" x14ac:dyDescent="0.45">
      <c r="A176" s="1" t="s">
        <v>135</v>
      </c>
      <c r="B176" s="1" t="s">
        <v>141</v>
      </c>
      <c r="C176" s="1" t="s">
        <v>118</v>
      </c>
      <c r="D176" s="2">
        <v>45879</v>
      </c>
      <c r="E176" s="3">
        <f>945/4</f>
        <v>236.25</v>
      </c>
      <c r="F176" s="1" t="s">
        <v>125</v>
      </c>
      <c r="K176" s="6">
        <f t="shared" si="27"/>
        <v>236.25</v>
      </c>
      <c r="L176" s="1">
        <f t="shared" si="24"/>
        <v>1</v>
      </c>
      <c r="M176" s="1">
        <v>1</v>
      </c>
    </row>
    <row r="177" spans="1:13" x14ac:dyDescent="0.45">
      <c r="A177" s="1" t="s">
        <v>135</v>
      </c>
      <c r="B177" s="1" t="s">
        <v>142</v>
      </c>
      <c r="C177" s="1" t="s">
        <v>118</v>
      </c>
      <c r="D177" s="2">
        <v>45879</v>
      </c>
      <c r="E177" s="3">
        <f t="shared" ref="E177:E179" si="38">945/4</f>
        <v>236.25</v>
      </c>
      <c r="F177" s="1" t="s">
        <v>125</v>
      </c>
      <c r="K177" s="6">
        <f t="shared" si="27"/>
        <v>236.25</v>
      </c>
      <c r="L177" s="1">
        <f t="shared" si="24"/>
        <v>1</v>
      </c>
      <c r="M177" s="1">
        <v>1</v>
      </c>
    </row>
    <row r="178" spans="1:13" x14ac:dyDescent="0.45">
      <c r="A178" s="1" t="s">
        <v>135</v>
      </c>
      <c r="B178" s="1" t="s">
        <v>143</v>
      </c>
      <c r="C178" s="1" t="s">
        <v>118</v>
      </c>
      <c r="D178" s="2">
        <v>45879</v>
      </c>
      <c r="E178" s="3">
        <f t="shared" si="38"/>
        <v>236.25</v>
      </c>
      <c r="F178" s="1" t="s">
        <v>125</v>
      </c>
      <c r="K178" s="6">
        <f t="shared" si="27"/>
        <v>236.25</v>
      </c>
      <c r="L178" s="1">
        <f t="shared" si="24"/>
        <v>1</v>
      </c>
      <c r="M178" s="1">
        <v>1</v>
      </c>
    </row>
    <row r="179" spans="1:13" x14ac:dyDescent="0.45">
      <c r="A179" s="1" t="s">
        <v>135</v>
      </c>
      <c r="B179" s="1" t="s">
        <v>144</v>
      </c>
      <c r="C179" s="1" t="s">
        <v>118</v>
      </c>
      <c r="D179" s="2">
        <v>45879</v>
      </c>
      <c r="E179" s="3">
        <f t="shared" si="38"/>
        <v>236.25</v>
      </c>
      <c r="F179" s="1" t="s">
        <v>125</v>
      </c>
      <c r="I179" s="2">
        <v>45902</v>
      </c>
      <c r="K179" s="6">
        <f t="shared" si="27"/>
        <v>236.25</v>
      </c>
      <c r="L179" s="1">
        <f t="shared" si="24"/>
        <v>1</v>
      </c>
      <c r="M179" s="1">
        <v>1</v>
      </c>
    </row>
    <row r="180" spans="1:13" x14ac:dyDescent="0.45">
      <c r="A180" s="1" t="s">
        <v>135</v>
      </c>
      <c r="B180" s="1" t="s">
        <v>145</v>
      </c>
      <c r="C180" s="1" t="s">
        <v>118</v>
      </c>
      <c r="D180" s="2">
        <v>45897</v>
      </c>
      <c r="E180" s="1">
        <f>756/3</f>
        <v>252</v>
      </c>
      <c r="F180" s="1" t="s">
        <v>125</v>
      </c>
      <c r="I180" s="2">
        <v>45915</v>
      </c>
      <c r="K180" s="6">
        <f t="shared" si="27"/>
        <v>252</v>
      </c>
      <c r="L180" s="1">
        <f t="shared" si="24"/>
        <v>1</v>
      </c>
      <c r="M180" s="1">
        <v>1</v>
      </c>
    </row>
    <row r="181" spans="1:13" x14ac:dyDescent="0.45">
      <c r="A181" s="1" t="s">
        <v>135</v>
      </c>
      <c r="B181" s="1" t="s">
        <v>146</v>
      </c>
      <c r="C181" s="1" t="s">
        <v>118</v>
      </c>
      <c r="D181" s="2">
        <v>45897</v>
      </c>
      <c r="E181" s="1">
        <f t="shared" ref="E181:E182" si="39">756/3</f>
        <v>252</v>
      </c>
      <c r="F181" s="1" t="s">
        <v>125</v>
      </c>
      <c r="I181" s="2">
        <v>45923</v>
      </c>
      <c r="K181" s="6">
        <f t="shared" si="27"/>
        <v>252</v>
      </c>
      <c r="L181" s="1">
        <f t="shared" si="24"/>
        <v>1</v>
      </c>
      <c r="M181" s="1">
        <v>1</v>
      </c>
    </row>
    <row r="182" spans="1:13" x14ac:dyDescent="0.45">
      <c r="A182" s="1" t="s">
        <v>135</v>
      </c>
      <c r="B182" s="1" t="s">
        <v>147</v>
      </c>
      <c r="C182" s="1" t="s">
        <v>118</v>
      </c>
      <c r="D182" s="2">
        <v>45897</v>
      </c>
      <c r="E182" s="1">
        <f t="shared" si="39"/>
        <v>252</v>
      </c>
      <c r="F182" s="1" t="s">
        <v>125</v>
      </c>
      <c r="I182" s="2">
        <v>45924</v>
      </c>
      <c r="K182" s="6">
        <f t="shared" si="27"/>
        <v>252</v>
      </c>
      <c r="L182" s="1">
        <f t="shared" si="24"/>
        <v>1</v>
      </c>
      <c r="M182" s="1">
        <v>1</v>
      </c>
    </row>
    <row r="183" spans="1:13" x14ac:dyDescent="0.45">
      <c r="A183" s="1" t="s">
        <v>135</v>
      </c>
      <c r="B183" s="1" t="s">
        <v>148</v>
      </c>
      <c r="C183" s="1" t="s">
        <v>118</v>
      </c>
      <c r="D183" s="2">
        <v>45923</v>
      </c>
      <c r="E183" s="1">
        <f>729/3</f>
        <v>243</v>
      </c>
      <c r="F183" s="1" t="s">
        <v>125</v>
      </c>
      <c r="I183" s="2">
        <v>45932</v>
      </c>
      <c r="K183" s="6">
        <f t="shared" si="27"/>
        <v>243</v>
      </c>
      <c r="L183" s="1">
        <f t="shared" si="24"/>
        <v>1</v>
      </c>
      <c r="M183" s="1">
        <v>1</v>
      </c>
    </row>
    <row r="184" spans="1:13" x14ac:dyDescent="0.45">
      <c r="A184" s="1" t="s">
        <v>135</v>
      </c>
      <c r="B184" s="1" t="s">
        <v>149</v>
      </c>
      <c r="C184" s="1" t="s">
        <v>118</v>
      </c>
      <c r="D184" s="2">
        <v>45923</v>
      </c>
      <c r="E184" s="1">
        <f t="shared" ref="E184:E185" si="40">729/3</f>
        <v>243</v>
      </c>
      <c r="F184" s="1" t="s">
        <v>125</v>
      </c>
      <c r="I184" s="2">
        <v>45934</v>
      </c>
      <c r="K184" s="6">
        <f t="shared" si="27"/>
        <v>243</v>
      </c>
      <c r="L184" s="1">
        <f t="shared" si="24"/>
        <v>1</v>
      </c>
      <c r="M184" s="1">
        <v>1</v>
      </c>
    </row>
    <row r="185" spans="1:13" x14ac:dyDescent="0.45">
      <c r="A185" s="1" t="s">
        <v>135</v>
      </c>
      <c r="B185" s="1" t="s">
        <v>150</v>
      </c>
      <c r="C185" s="1" t="s">
        <v>118</v>
      </c>
      <c r="D185" s="2">
        <v>45923</v>
      </c>
      <c r="E185" s="1">
        <f t="shared" si="40"/>
        <v>243</v>
      </c>
      <c r="F185" s="1" t="s">
        <v>125</v>
      </c>
      <c r="I185" s="2">
        <v>45936</v>
      </c>
      <c r="K185" s="6">
        <f t="shared" si="27"/>
        <v>243</v>
      </c>
      <c r="L185" s="1">
        <f t="shared" si="24"/>
        <v>1</v>
      </c>
      <c r="M185" s="1">
        <v>1</v>
      </c>
    </row>
    <row r="186" spans="1:13" x14ac:dyDescent="0.45">
      <c r="A186" s="1" t="s">
        <v>135</v>
      </c>
      <c r="B186" s="1" t="s">
        <v>498</v>
      </c>
      <c r="C186" s="1" t="s">
        <v>118</v>
      </c>
      <c r="D186" s="2">
        <v>45965</v>
      </c>
      <c r="E186" s="1">
        <v>238</v>
      </c>
      <c r="F186" s="1" t="s">
        <v>125</v>
      </c>
      <c r="I186" s="2">
        <v>46016</v>
      </c>
      <c r="K186" s="6">
        <f t="shared" si="27"/>
        <v>238</v>
      </c>
      <c r="L186" s="1">
        <f t="shared" si="24"/>
        <v>1</v>
      </c>
      <c r="M186" s="1">
        <v>1</v>
      </c>
    </row>
    <row r="187" spans="1:13" x14ac:dyDescent="0.45">
      <c r="A187" s="1" t="s">
        <v>135</v>
      </c>
      <c r="B187" s="1" t="s">
        <v>499</v>
      </c>
      <c r="C187" s="1" t="s">
        <v>118</v>
      </c>
      <c r="D187" s="2">
        <v>45965</v>
      </c>
      <c r="E187" s="1">
        <v>212</v>
      </c>
      <c r="F187" s="1" t="s">
        <v>125</v>
      </c>
      <c r="I187" s="2">
        <v>46018</v>
      </c>
      <c r="K187" s="6">
        <f t="shared" ref="K187:K189" si="41">E187+G187</f>
        <v>212</v>
      </c>
      <c r="L187" s="1">
        <f t="shared" si="24"/>
        <v>1</v>
      </c>
      <c r="M187" s="1">
        <v>1</v>
      </c>
    </row>
    <row r="188" spans="1:13" x14ac:dyDescent="0.45">
      <c r="A188" s="1" t="s">
        <v>135</v>
      </c>
      <c r="B188" s="1" t="s">
        <v>543</v>
      </c>
      <c r="C188" s="1" t="s">
        <v>118</v>
      </c>
      <c r="D188" s="2">
        <v>45994</v>
      </c>
      <c r="E188" s="1">
        <v>212</v>
      </c>
      <c r="F188" s="1" t="s">
        <v>125</v>
      </c>
      <c r="I188" s="2">
        <v>46073</v>
      </c>
      <c r="K188" s="6">
        <f t="shared" ref="K188" si="42">E188+G188</f>
        <v>212</v>
      </c>
      <c r="L188" s="1">
        <f t="shared" si="24"/>
        <v>1</v>
      </c>
      <c r="M188" s="1">
        <v>1</v>
      </c>
    </row>
    <row r="189" spans="1:13" x14ac:dyDescent="0.45">
      <c r="A189" s="1" t="s">
        <v>156</v>
      </c>
      <c r="B189" s="1" t="s">
        <v>520</v>
      </c>
      <c r="D189" s="2">
        <v>45986</v>
      </c>
      <c r="E189" s="3">
        <f>24500/110</f>
        <v>222.72727272727272</v>
      </c>
      <c r="F189" s="1" t="s">
        <v>521</v>
      </c>
      <c r="I189" s="2"/>
      <c r="K189" s="6">
        <f t="shared" si="41"/>
        <v>222.72727272727272</v>
      </c>
      <c r="L189" s="1" t="str">
        <f t="shared" si="24"/>
        <v/>
      </c>
      <c r="M189" s="1">
        <v>1</v>
      </c>
    </row>
    <row r="190" spans="1:13" x14ac:dyDescent="0.45">
      <c r="A190" s="1" t="s">
        <v>156</v>
      </c>
      <c r="B190" s="1" t="s">
        <v>151</v>
      </c>
      <c r="C190" s="1" t="s">
        <v>118</v>
      </c>
      <c r="D190" s="2">
        <v>45923</v>
      </c>
      <c r="E190" s="1">
        <f>1180/5</f>
        <v>236</v>
      </c>
      <c r="F190" s="1" t="s">
        <v>125</v>
      </c>
      <c r="I190" s="2">
        <v>45929</v>
      </c>
      <c r="K190" s="6">
        <f t="shared" si="27"/>
        <v>236</v>
      </c>
      <c r="L190" s="1">
        <f t="shared" si="24"/>
        <v>1</v>
      </c>
      <c r="M190" s="1">
        <v>1</v>
      </c>
    </row>
    <row r="191" spans="1:13" x14ac:dyDescent="0.45">
      <c r="A191" s="1" t="s">
        <v>156</v>
      </c>
      <c r="B191" s="1" t="s">
        <v>152</v>
      </c>
      <c r="C191" s="1" t="s">
        <v>118</v>
      </c>
      <c r="D191" s="2">
        <v>45923</v>
      </c>
      <c r="E191" s="1">
        <f t="shared" ref="E191:E194" si="43">1180/5</f>
        <v>236</v>
      </c>
      <c r="F191" s="1" t="s">
        <v>125</v>
      </c>
      <c r="I191" s="2">
        <v>45929</v>
      </c>
      <c r="K191" s="6">
        <f t="shared" si="27"/>
        <v>236</v>
      </c>
      <c r="L191" s="1">
        <f t="shared" si="24"/>
        <v>1</v>
      </c>
      <c r="M191" s="1">
        <v>1</v>
      </c>
    </row>
    <row r="192" spans="1:13" x14ac:dyDescent="0.45">
      <c r="A192" s="1" t="s">
        <v>156</v>
      </c>
      <c r="B192" s="1" t="s">
        <v>153</v>
      </c>
      <c r="C192" s="1" t="s">
        <v>118</v>
      </c>
      <c r="D192" s="2">
        <v>45923</v>
      </c>
      <c r="E192" s="1">
        <f t="shared" si="43"/>
        <v>236</v>
      </c>
      <c r="F192" s="1" t="s">
        <v>125</v>
      </c>
      <c r="I192" s="2">
        <v>45929</v>
      </c>
      <c r="K192" s="6">
        <f t="shared" si="27"/>
        <v>236</v>
      </c>
      <c r="L192" s="1">
        <f t="shared" si="24"/>
        <v>1</v>
      </c>
      <c r="M192" s="1">
        <v>1</v>
      </c>
    </row>
    <row r="193" spans="1:13" x14ac:dyDescent="0.45">
      <c r="A193" s="1" t="s">
        <v>156</v>
      </c>
      <c r="B193" s="1" t="s">
        <v>154</v>
      </c>
      <c r="C193" s="1" t="s">
        <v>118</v>
      </c>
      <c r="D193" s="2">
        <v>45923</v>
      </c>
      <c r="E193" s="1">
        <f t="shared" si="43"/>
        <v>236</v>
      </c>
      <c r="F193" s="1" t="s">
        <v>125</v>
      </c>
      <c r="I193" s="2">
        <v>45929</v>
      </c>
      <c r="K193" s="6">
        <f t="shared" si="27"/>
        <v>236</v>
      </c>
      <c r="L193" s="1">
        <f t="shared" si="24"/>
        <v>1</v>
      </c>
      <c r="M193" s="1">
        <v>1</v>
      </c>
    </row>
    <row r="194" spans="1:13" x14ac:dyDescent="0.45">
      <c r="A194" s="1" t="s">
        <v>156</v>
      </c>
      <c r="B194" s="1" t="s">
        <v>155</v>
      </c>
      <c r="C194" s="1" t="s">
        <v>118</v>
      </c>
      <c r="D194" s="2">
        <v>45923</v>
      </c>
      <c r="E194" s="1">
        <f t="shared" si="43"/>
        <v>236</v>
      </c>
      <c r="F194" s="1" t="s">
        <v>125</v>
      </c>
      <c r="I194" s="2">
        <v>45931</v>
      </c>
      <c r="K194" s="6">
        <f t="shared" si="27"/>
        <v>236</v>
      </c>
      <c r="L194" s="1">
        <f t="shared" si="24"/>
        <v>1</v>
      </c>
      <c r="M194" s="1">
        <v>1</v>
      </c>
    </row>
    <row r="195" spans="1:13" x14ac:dyDescent="0.45">
      <c r="A195" s="1" t="s">
        <v>156</v>
      </c>
      <c r="B195" s="1" t="s">
        <v>473</v>
      </c>
      <c r="C195" s="1" t="s">
        <v>477</v>
      </c>
      <c r="D195" s="2">
        <v>45962</v>
      </c>
      <c r="E195" s="1">
        <v>206</v>
      </c>
      <c r="F195" s="1" t="s">
        <v>125</v>
      </c>
      <c r="I195" s="2">
        <v>45965</v>
      </c>
      <c r="J195" s="1" t="s">
        <v>450</v>
      </c>
      <c r="K195" s="6">
        <f t="shared" ref="K195" si="44">E195+G195</f>
        <v>206</v>
      </c>
      <c r="L195" s="1">
        <f t="shared" ref="L195:L258" si="45">IF(C195="V",1,IF(C195="X",0,""))</f>
        <v>1</v>
      </c>
      <c r="M195" s="1">
        <v>1</v>
      </c>
    </row>
    <row r="196" spans="1:13" x14ac:dyDescent="0.45">
      <c r="A196" s="1" t="s">
        <v>156</v>
      </c>
      <c r="B196" s="1" t="s">
        <v>250</v>
      </c>
      <c r="D196" s="2">
        <v>45792</v>
      </c>
      <c r="E196" s="3">
        <f>1280/7</f>
        <v>182.85714285714286</v>
      </c>
      <c r="F196" s="1" t="s">
        <v>125</v>
      </c>
      <c r="K196" s="6">
        <f t="shared" si="27"/>
        <v>182.85714285714286</v>
      </c>
      <c r="L196" s="1" t="str">
        <f t="shared" si="45"/>
        <v/>
      </c>
      <c r="M196" s="1">
        <v>1</v>
      </c>
    </row>
    <row r="197" spans="1:13" x14ac:dyDescent="0.45">
      <c r="A197" s="1" t="s">
        <v>156</v>
      </c>
      <c r="B197" s="1" t="s">
        <v>251</v>
      </c>
      <c r="D197" s="2">
        <v>45792</v>
      </c>
      <c r="E197" s="3">
        <f t="shared" ref="E197:E202" si="46">1280/7</f>
        <v>182.85714285714286</v>
      </c>
      <c r="F197" s="1" t="s">
        <v>125</v>
      </c>
      <c r="K197" s="6">
        <f t="shared" si="27"/>
        <v>182.85714285714286</v>
      </c>
      <c r="L197" s="1" t="str">
        <f t="shared" si="45"/>
        <v/>
      </c>
      <c r="M197" s="1">
        <v>1</v>
      </c>
    </row>
    <row r="198" spans="1:13" x14ac:dyDescent="0.45">
      <c r="A198" s="1" t="s">
        <v>156</v>
      </c>
      <c r="B198" s="1" t="s">
        <v>252</v>
      </c>
      <c r="D198" s="2">
        <v>45792</v>
      </c>
      <c r="E198" s="3">
        <f t="shared" si="46"/>
        <v>182.85714285714286</v>
      </c>
      <c r="F198" s="1" t="s">
        <v>125</v>
      </c>
      <c r="K198" s="6">
        <f t="shared" si="27"/>
        <v>182.85714285714286</v>
      </c>
      <c r="L198" s="1" t="str">
        <f t="shared" si="45"/>
        <v/>
      </c>
      <c r="M198" s="1">
        <v>1</v>
      </c>
    </row>
    <row r="199" spans="1:13" x14ac:dyDescent="0.45">
      <c r="A199" s="1" t="s">
        <v>156</v>
      </c>
      <c r="B199" s="1" t="s">
        <v>253</v>
      </c>
      <c r="D199" s="2">
        <v>45792</v>
      </c>
      <c r="E199" s="3">
        <f t="shared" si="46"/>
        <v>182.85714285714286</v>
      </c>
      <c r="F199" s="1" t="s">
        <v>125</v>
      </c>
      <c r="K199" s="6">
        <f t="shared" si="27"/>
        <v>182.85714285714286</v>
      </c>
      <c r="L199" s="1" t="str">
        <f t="shared" si="45"/>
        <v/>
      </c>
      <c r="M199" s="1">
        <v>1</v>
      </c>
    </row>
    <row r="200" spans="1:13" x14ac:dyDescent="0.45">
      <c r="A200" s="1" t="s">
        <v>156</v>
      </c>
      <c r="B200" s="1" t="s">
        <v>254</v>
      </c>
      <c r="D200" s="2">
        <v>45792</v>
      </c>
      <c r="E200" s="3">
        <f t="shared" si="46"/>
        <v>182.85714285714286</v>
      </c>
      <c r="F200" s="1" t="s">
        <v>125</v>
      </c>
      <c r="K200" s="6">
        <f t="shared" si="27"/>
        <v>182.85714285714286</v>
      </c>
      <c r="L200" s="1" t="str">
        <f t="shared" si="45"/>
        <v/>
      </c>
      <c r="M200" s="1">
        <v>1</v>
      </c>
    </row>
    <row r="201" spans="1:13" x14ac:dyDescent="0.45">
      <c r="A201" s="1" t="s">
        <v>156</v>
      </c>
      <c r="B201" s="1" t="s">
        <v>255</v>
      </c>
      <c r="D201" s="2">
        <v>45792</v>
      </c>
      <c r="E201" s="3">
        <f t="shared" si="46"/>
        <v>182.85714285714286</v>
      </c>
      <c r="F201" s="1" t="s">
        <v>125</v>
      </c>
      <c r="K201" s="6">
        <f t="shared" si="27"/>
        <v>182.85714285714286</v>
      </c>
      <c r="L201" s="1" t="str">
        <f t="shared" si="45"/>
        <v/>
      </c>
      <c r="M201" s="1">
        <v>1</v>
      </c>
    </row>
    <row r="202" spans="1:13" x14ac:dyDescent="0.45">
      <c r="A202" s="1" t="s">
        <v>156</v>
      </c>
      <c r="B202" s="1" t="s">
        <v>256</v>
      </c>
      <c r="D202" s="2">
        <v>45792</v>
      </c>
      <c r="E202" s="3">
        <f t="shared" si="46"/>
        <v>182.85714285714286</v>
      </c>
      <c r="F202" s="1" t="s">
        <v>125</v>
      </c>
      <c r="K202" s="6">
        <f t="shared" si="27"/>
        <v>182.85714285714286</v>
      </c>
      <c r="L202" s="1" t="str">
        <f t="shared" si="45"/>
        <v/>
      </c>
      <c r="M202" s="1">
        <v>1</v>
      </c>
    </row>
    <row r="203" spans="1:13" x14ac:dyDescent="0.45">
      <c r="A203" s="1" t="s">
        <v>156</v>
      </c>
      <c r="B203" s="1" t="s">
        <v>257</v>
      </c>
      <c r="C203" s="1" t="s">
        <v>414</v>
      </c>
      <c r="D203" s="2">
        <v>45766</v>
      </c>
      <c r="E203" s="3">
        <f>1039/5</f>
        <v>207.8</v>
      </c>
      <c r="F203" s="1" t="s">
        <v>125</v>
      </c>
      <c r="G203" s="1">
        <f>-1020/5</f>
        <v>-204</v>
      </c>
      <c r="H203" s="2">
        <v>46023</v>
      </c>
      <c r="I203" s="2">
        <v>46000</v>
      </c>
      <c r="K203" s="6">
        <f t="shared" si="27"/>
        <v>3.8000000000000114</v>
      </c>
      <c r="L203" s="1">
        <f t="shared" si="45"/>
        <v>1</v>
      </c>
      <c r="M203" s="1">
        <v>1</v>
      </c>
    </row>
    <row r="204" spans="1:13" x14ac:dyDescent="0.45">
      <c r="A204" s="1" t="s">
        <v>156</v>
      </c>
      <c r="B204" s="1" t="s">
        <v>258</v>
      </c>
      <c r="C204" s="1" t="s">
        <v>414</v>
      </c>
      <c r="D204" s="2">
        <v>45766</v>
      </c>
      <c r="E204" s="3">
        <f t="shared" ref="E204:E207" si="47">1039/5</f>
        <v>207.8</v>
      </c>
      <c r="F204" s="1" t="s">
        <v>125</v>
      </c>
      <c r="G204" s="1">
        <f>-1020/5</f>
        <v>-204</v>
      </c>
      <c r="H204" s="2">
        <v>46023</v>
      </c>
      <c r="I204" s="2">
        <v>46003</v>
      </c>
      <c r="K204" s="6">
        <f t="shared" si="27"/>
        <v>3.8000000000000114</v>
      </c>
      <c r="L204" s="1">
        <f t="shared" si="45"/>
        <v>1</v>
      </c>
      <c r="M204" s="1">
        <v>1</v>
      </c>
    </row>
    <row r="205" spans="1:13" x14ac:dyDescent="0.45">
      <c r="A205" s="1" t="s">
        <v>156</v>
      </c>
      <c r="B205" s="1" t="s">
        <v>259</v>
      </c>
      <c r="C205" s="1" t="s">
        <v>414</v>
      </c>
      <c r="D205" s="2">
        <v>45766</v>
      </c>
      <c r="E205" s="3">
        <f t="shared" si="47"/>
        <v>207.8</v>
      </c>
      <c r="F205" s="1" t="s">
        <v>125</v>
      </c>
      <c r="G205" s="1">
        <f>-1020/5</f>
        <v>-204</v>
      </c>
      <c r="H205" s="2">
        <v>46023</v>
      </c>
      <c r="I205" s="2">
        <v>46002</v>
      </c>
      <c r="K205" s="6">
        <f t="shared" ref="K205:K351" si="48">E205+G205</f>
        <v>3.8000000000000114</v>
      </c>
      <c r="L205" s="1">
        <f t="shared" si="45"/>
        <v>1</v>
      </c>
      <c r="M205" s="1">
        <v>1</v>
      </c>
    </row>
    <row r="206" spans="1:13" x14ac:dyDescent="0.45">
      <c r="A206" s="1" t="s">
        <v>156</v>
      </c>
      <c r="B206" s="1" t="s">
        <v>260</v>
      </c>
      <c r="C206" s="1" t="s">
        <v>414</v>
      </c>
      <c r="D206" s="2">
        <v>45766</v>
      </c>
      <c r="E206" s="3">
        <f t="shared" si="47"/>
        <v>207.8</v>
      </c>
      <c r="F206" s="1" t="s">
        <v>125</v>
      </c>
      <c r="G206" s="1">
        <f>-1020/5</f>
        <v>-204</v>
      </c>
      <c r="H206" s="2">
        <v>46023</v>
      </c>
      <c r="I206" s="2">
        <v>45999</v>
      </c>
      <c r="K206" s="6">
        <f t="shared" si="48"/>
        <v>3.8000000000000114</v>
      </c>
      <c r="L206" s="1">
        <f t="shared" si="45"/>
        <v>1</v>
      </c>
      <c r="M206" s="1">
        <v>1</v>
      </c>
    </row>
    <row r="207" spans="1:13" x14ac:dyDescent="0.45">
      <c r="A207" s="1" t="s">
        <v>156</v>
      </c>
      <c r="B207" s="1" t="s">
        <v>261</v>
      </c>
      <c r="C207" s="1" t="s">
        <v>414</v>
      </c>
      <c r="D207" s="2">
        <v>45766</v>
      </c>
      <c r="E207" s="3">
        <f t="shared" si="47"/>
        <v>207.8</v>
      </c>
      <c r="F207" s="1" t="s">
        <v>125</v>
      </c>
      <c r="G207" s="1">
        <f>-1020/5</f>
        <v>-204</v>
      </c>
      <c r="H207" s="2">
        <v>46023</v>
      </c>
      <c r="I207" s="2">
        <v>46004</v>
      </c>
      <c r="K207" s="6">
        <f t="shared" si="48"/>
        <v>3.8000000000000114</v>
      </c>
      <c r="L207" s="1">
        <f t="shared" si="45"/>
        <v>1</v>
      </c>
      <c r="M207" s="1">
        <v>1</v>
      </c>
    </row>
    <row r="208" spans="1:13" x14ac:dyDescent="0.45">
      <c r="A208" s="1" t="s">
        <v>157</v>
      </c>
      <c r="B208" s="1" t="s">
        <v>158</v>
      </c>
      <c r="C208" s="1" t="s">
        <v>413</v>
      </c>
      <c r="D208" s="2">
        <v>45947</v>
      </c>
      <c r="E208" s="1">
        <f>582/3</f>
        <v>194</v>
      </c>
      <c r="F208" s="1" t="s">
        <v>125</v>
      </c>
      <c r="I208" s="2">
        <v>45956</v>
      </c>
      <c r="K208" s="6">
        <f t="shared" si="48"/>
        <v>194</v>
      </c>
      <c r="L208" s="1">
        <f t="shared" si="45"/>
        <v>1</v>
      </c>
      <c r="M208" s="1">
        <v>1</v>
      </c>
    </row>
    <row r="209" spans="1:13" x14ac:dyDescent="0.45">
      <c r="A209" s="1" t="s">
        <v>157</v>
      </c>
      <c r="B209" s="1" t="s">
        <v>159</v>
      </c>
      <c r="C209" s="1" t="s">
        <v>118</v>
      </c>
      <c r="D209" s="2">
        <v>45948</v>
      </c>
      <c r="E209" s="1">
        <f t="shared" ref="E209:E210" si="49">582/3</f>
        <v>194</v>
      </c>
      <c r="F209" s="1" t="s">
        <v>125</v>
      </c>
      <c r="I209" s="2">
        <v>45959</v>
      </c>
      <c r="K209" s="6">
        <f t="shared" si="48"/>
        <v>194</v>
      </c>
      <c r="L209" s="1">
        <f t="shared" si="45"/>
        <v>1</v>
      </c>
      <c r="M209" s="1">
        <v>1</v>
      </c>
    </row>
    <row r="210" spans="1:13" x14ac:dyDescent="0.45">
      <c r="A210" s="1" t="s">
        <v>157</v>
      </c>
      <c r="B210" s="1" t="s">
        <v>160</v>
      </c>
      <c r="C210" s="1" t="s">
        <v>476</v>
      </c>
      <c r="D210" s="2">
        <v>45949</v>
      </c>
      <c r="E210" s="1">
        <f t="shared" si="49"/>
        <v>194</v>
      </c>
      <c r="F210" s="1" t="s">
        <v>125</v>
      </c>
      <c r="I210" s="2">
        <v>45963</v>
      </c>
      <c r="K210" s="6">
        <f t="shared" si="48"/>
        <v>194</v>
      </c>
      <c r="L210" s="1">
        <f t="shared" si="45"/>
        <v>1</v>
      </c>
      <c r="M210" s="1">
        <v>1</v>
      </c>
    </row>
    <row r="211" spans="1:13" x14ac:dyDescent="0.45">
      <c r="A211" s="1" t="s">
        <v>163</v>
      </c>
      <c r="B211" s="1" t="s">
        <v>532</v>
      </c>
      <c r="D211" s="2">
        <v>45992</v>
      </c>
      <c r="E211" s="1">
        <f>1239/7</f>
        <v>177</v>
      </c>
      <c r="F211" s="1" t="s">
        <v>125</v>
      </c>
      <c r="I211" s="2"/>
      <c r="K211" s="6">
        <f t="shared" ref="K211" si="50">E211+G211</f>
        <v>177</v>
      </c>
      <c r="L211" s="1" t="str">
        <f t="shared" si="45"/>
        <v/>
      </c>
      <c r="M211" s="1">
        <v>1</v>
      </c>
    </row>
    <row r="212" spans="1:13" x14ac:dyDescent="0.45">
      <c r="A212" s="1" t="s">
        <v>163</v>
      </c>
      <c r="B212" s="1" t="s">
        <v>533</v>
      </c>
      <c r="D212" s="2">
        <v>45992</v>
      </c>
      <c r="E212" s="1">
        <f t="shared" ref="E212:E217" si="51">1239/7</f>
        <v>177</v>
      </c>
      <c r="F212" s="1" t="s">
        <v>125</v>
      </c>
      <c r="K212" s="6">
        <f t="shared" ref="K212:K217" si="52">E212+G212</f>
        <v>177</v>
      </c>
      <c r="L212" s="1" t="str">
        <f t="shared" si="45"/>
        <v/>
      </c>
      <c r="M212" s="1">
        <v>1</v>
      </c>
    </row>
    <row r="213" spans="1:13" x14ac:dyDescent="0.45">
      <c r="A213" s="1" t="s">
        <v>163</v>
      </c>
      <c r="B213" s="1" t="s">
        <v>534</v>
      </c>
      <c r="D213" s="2">
        <v>45992</v>
      </c>
      <c r="E213" s="1">
        <f t="shared" si="51"/>
        <v>177</v>
      </c>
      <c r="F213" s="1" t="s">
        <v>125</v>
      </c>
      <c r="K213" s="6">
        <f t="shared" si="52"/>
        <v>177</v>
      </c>
      <c r="L213" s="1" t="str">
        <f t="shared" si="45"/>
        <v/>
      </c>
      <c r="M213" s="1">
        <v>1</v>
      </c>
    </row>
    <row r="214" spans="1:13" x14ac:dyDescent="0.45">
      <c r="A214" s="1" t="s">
        <v>163</v>
      </c>
      <c r="B214" s="1" t="s">
        <v>535</v>
      </c>
      <c r="D214" s="2">
        <v>45992</v>
      </c>
      <c r="E214" s="1">
        <f t="shared" si="51"/>
        <v>177</v>
      </c>
      <c r="F214" s="1" t="s">
        <v>125</v>
      </c>
      <c r="K214" s="6">
        <f t="shared" si="52"/>
        <v>177</v>
      </c>
      <c r="L214" s="1" t="str">
        <f t="shared" si="45"/>
        <v/>
      </c>
      <c r="M214" s="1">
        <v>1</v>
      </c>
    </row>
    <row r="215" spans="1:13" x14ac:dyDescent="0.45">
      <c r="A215" s="1" t="s">
        <v>163</v>
      </c>
      <c r="B215" s="1" t="s">
        <v>653</v>
      </c>
      <c r="C215" s="1" t="s">
        <v>652</v>
      </c>
      <c r="D215" s="2">
        <v>45992</v>
      </c>
      <c r="E215" s="1">
        <f t="shared" si="51"/>
        <v>177</v>
      </c>
      <c r="F215" s="1" t="s">
        <v>125</v>
      </c>
      <c r="I215" s="2">
        <v>46096</v>
      </c>
      <c r="K215" s="6">
        <f t="shared" si="52"/>
        <v>177</v>
      </c>
      <c r="L215" s="1">
        <f t="shared" si="45"/>
        <v>1</v>
      </c>
      <c r="M215" s="1">
        <v>1</v>
      </c>
    </row>
    <row r="216" spans="1:13" x14ac:dyDescent="0.45">
      <c r="A216" s="1" t="s">
        <v>163</v>
      </c>
      <c r="B216" s="1" t="s">
        <v>536</v>
      </c>
      <c r="D216" s="2">
        <v>45992</v>
      </c>
      <c r="E216" s="1">
        <f t="shared" si="51"/>
        <v>177</v>
      </c>
      <c r="F216" s="1" t="s">
        <v>125</v>
      </c>
      <c r="K216" s="6">
        <f t="shared" si="52"/>
        <v>177</v>
      </c>
      <c r="L216" s="1" t="str">
        <f t="shared" si="45"/>
        <v/>
      </c>
      <c r="M216" s="1">
        <v>1</v>
      </c>
    </row>
    <row r="217" spans="1:13" x14ac:dyDescent="0.45">
      <c r="A217" s="1" t="s">
        <v>163</v>
      </c>
      <c r="B217" s="1" t="s">
        <v>537</v>
      </c>
      <c r="D217" s="2">
        <v>45992</v>
      </c>
      <c r="E217" s="1">
        <f t="shared" si="51"/>
        <v>177</v>
      </c>
      <c r="F217" s="1" t="s">
        <v>125</v>
      </c>
      <c r="K217" s="6">
        <f t="shared" si="52"/>
        <v>177</v>
      </c>
      <c r="L217" s="1" t="str">
        <f t="shared" si="45"/>
        <v/>
      </c>
      <c r="M217" s="1">
        <v>1</v>
      </c>
    </row>
    <row r="218" spans="1:13" x14ac:dyDescent="0.45">
      <c r="A218" s="1" t="s">
        <v>163</v>
      </c>
      <c r="B218" s="1" t="s">
        <v>164</v>
      </c>
      <c r="D218" s="2">
        <v>45937</v>
      </c>
      <c r="E218" s="1">
        <v>365</v>
      </c>
      <c r="F218" s="1" t="s">
        <v>162</v>
      </c>
      <c r="K218" s="6">
        <f t="shared" si="48"/>
        <v>365</v>
      </c>
      <c r="L218" s="1" t="str">
        <f t="shared" si="45"/>
        <v/>
      </c>
      <c r="M218" s="1">
        <v>1</v>
      </c>
    </row>
    <row r="219" spans="1:13" x14ac:dyDescent="0.45">
      <c r="A219" s="1" t="s">
        <v>163</v>
      </c>
      <c r="B219" s="1" t="s">
        <v>165</v>
      </c>
      <c r="D219" s="2">
        <v>45937</v>
      </c>
      <c r="E219" s="1">
        <v>302</v>
      </c>
      <c r="F219" s="1" t="s">
        <v>162</v>
      </c>
      <c r="K219" s="6">
        <f t="shared" si="48"/>
        <v>302</v>
      </c>
      <c r="L219" s="1" t="str">
        <f t="shared" si="45"/>
        <v/>
      </c>
      <c r="M219" s="1">
        <v>1</v>
      </c>
    </row>
    <row r="220" spans="1:13" x14ac:dyDescent="0.45">
      <c r="A220" s="1" t="s">
        <v>163</v>
      </c>
      <c r="B220" s="1" t="s">
        <v>242</v>
      </c>
      <c r="C220" s="1" t="s">
        <v>557</v>
      </c>
      <c r="D220" s="2">
        <v>45607</v>
      </c>
      <c r="E220" s="3">
        <f>1357/7</f>
        <v>193.85714285714286</v>
      </c>
      <c r="F220" s="1" t="s">
        <v>125</v>
      </c>
      <c r="G220" s="3">
        <f>-1397*0.92/7</f>
        <v>-183.6057142857143</v>
      </c>
      <c r="H220" s="2">
        <v>45990</v>
      </c>
      <c r="K220" s="6">
        <f t="shared" si="48"/>
        <v>10.251428571428562</v>
      </c>
      <c r="L220" s="1">
        <f t="shared" si="45"/>
        <v>0</v>
      </c>
      <c r="M220" s="1">
        <v>1</v>
      </c>
    </row>
    <row r="221" spans="1:13" x14ac:dyDescent="0.45">
      <c r="A221" s="1" t="s">
        <v>163</v>
      </c>
      <c r="B221" s="1" t="s">
        <v>376</v>
      </c>
      <c r="C221" s="1" t="s">
        <v>118</v>
      </c>
      <c r="D221" s="2">
        <v>45607</v>
      </c>
      <c r="E221" s="3">
        <f t="shared" ref="E221:E226" si="53">1357/7</f>
        <v>193.85714285714286</v>
      </c>
      <c r="F221" s="1" t="s">
        <v>125</v>
      </c>
      <c r="G221" s="3">
        <f t="shared" ref="G221:G226" si="54">-1397*0.92/7</f>
        <v>-183.6057142857143</v>
      </c>
      <c r="H221" s="2">
        <v>45990</v>
      </c>
      <c r="K221" s="6">
        <f t="shared" si="48"/>
        <v>10.251428571428562</v>
      </c>
      <c r="L221" s="1">
        <f t="shared" si="45"/>
        <v>1</v>
      </c>
      <c r="M221" s="1">
        <v>1</v>
      </c>
    </row>
    <row r="222" spans="1:13" x14ac:dyDescent="0.45">
      <c r="A222" s="1" t="s">
        <v>163</v>
      </c>
      <c r="B222" s="1" t="s">
        <v>377</v>
      </c>
      <c r="C222" s="1" t="s">
        <v>118</v>
      </c>
      <c r="D222" s="2">
        <v>45607</v>
      </c>
      <c r="E222" s="3">
        <f t="shared" si="53"/>
        <v>193.85714285714286</v>
      </c>
      <c r="F222" s="1" t="s">
        <v>125</v>
      </c>
      <c r="G222" s="3">
        <f t="shared" si="54"/>
        <v>-183.6057142857143</v>
      </c>
      <c r="H222" s="2">
        <v>45990</v>
      </c>
      <c r="K222" s="6">
        <f t="shared" si="48"/>
        <v>10.251428571428562</v>
      </c>
      <c r="L222" s="1">
        <f t="shared" si="45"/>
        <v>1</v>
      </c>
      <c r="M222" s="1">
        <v>1</v>
      </c>
    </row>
    <row r="223" spans="1:13" x14ac:dyDescent="0.45">
      <c r="A223" s="1" t="s">
        <v>163</v>
      </c>
      <c r="B223" s="1" t="s">
        <v>378</v>
      </c>
      <c r="C223" s="1" t="s">
        <v>118</v>
      </c>
      <c r="D223" s="2">
        <v>45607</v>
      </c>
      <c r="E223" s="3">
        <f t="shared" si="53"/>
        <v>193.85714285714286</v>
      </c>
      <c r="F223" s="1" t="s">
        <v>125</v>
      </c>
      <c r="G223" s="3">
        <f t="shared" si="54"/>
        <v>-183.6057142857143</v>
      </c>
      <c r="H223" s="2">
        <v>45990</v>
      </c>
      <c r="K223" s="6">
        <f t="shared" si="48"/>
        <v>10.251428571428562</v>
      </c>
      <c r="L223" s="1">
        <f t="shared" si="45"/>
        <v>1</v>
      </c>
      <c r="M223" s="1">
        <v>1</v>
      </c>
    </row>
    <row r="224" spans="1:13" x14ac:dyDescent="0.45">
      <c r="A224" s="1" t="s">
        <v>163</v>
      </c>
      <c r="B224" s="1" t="s">
        <v>379</v>
      </c>
      <c r="C224" s="1" t="s">
        <v>118</v>
      </c>
      <c r="D224" s="2">
        <v>45607</v>
      </c>
      <c r="E224" s="3">
        <f t="shared" si="53"/>
        <v>193.85714285714286</v>
      </c>
      <c r="F224" s="1" t="s">
        <v>125</v>
      </c>
      <c r="G224" s="3">
        <f t="shared" si="54"/>
        <v>-183.6057142857143</v>
      </c>
      <c r="H224" s="2">
        <v>45990</v>
      </c>
      <c r="K224" s="6">
        <f t="shared" si="48"/>
        <v>10.251428571428562</v>
      </c>
      <c r="L224" s="1">
        <f t="shared" si="45"/>
        <v>1</v>
      </c>
      <c r="M224" s="1">
        <v>1</v>
      </c>
    </row>
    <row r="225" spans="1:13" x14ac:dyDescent="0.45">
      <c r="A225" s="1" t="s">
        <v>163</v>
      </c>
      <c r="B225" s="1" t="s">
        <v>380</v>
      </c>
      <c r="C225" s="1" t="s">
        <v>118</v>
      </c>
      <c r="D225" s="2">
        <v>45607</v>
      </c>
      <c r="E225" s="3">
        <f t="shared" si="53"/>
        <v>193.85714285714286</v>
      </c>
      <c r="F225" s="1" t="s">
        <v>125</v>
      </c>
      <c r="G225" s="3">
        <f t="shared" si="54"/>
        <v>-183.6057142857143</v>
      </c>
      <c r="H225" s="2">
        <v>45990</v>
      </c>
      <c r="K225" s="6">
        <f t="shared" si="48"/>
        <v>10.251428571428562</v>
      </c>
      <c r="L225" s="1">
        <f t="shared" si="45"/>
        <v>1</v>
      </c>
      <c r="M225" s="1">
        <v>1</v>
      </c>
    </row>
    <row r="226" spans="1:13" x14ac:dyDescent="0.45">
      <c r="A226" s="1" t="s">
        <v>163</v>
      </c>
      <c r="B226" s="1" t="s">
        <v>381</v>
      </c>
      <c r="C226" s="1" t="s">
        <v>118</v>
      </c>
      <c r="D226" s="2">
        <v>45607</v>
      </c>
      <c r="E226" s="3">
        <f t="shared" si="53"/>
        <v>193.85714285714286</v>
      </c>
      <c r="F226" s="1" t="s">
        <v>125</v>
      </c>
      <c r="G226" s="3">
        <f t="shared" si="54"/>
        <v>-183.6057142857143</v>
      </c>
      <c r="H226" s="2">
        <v>45990</v>
      </c>
      <c r="K226" s="6">
        <f t="shared" si="48"/>
        <v>10.251428571428562</v>
      </c>
      <c r="L226" s="1">
        <f t="shared" si="45"/>
        <v>1</v>
      </c>
      <c r="M226" s="1">
        <v>1</v>
      </c>
    </row>
    <row r="227" spans="1:13" x14ac:dyDescent="0.45">
      <c r="A227" s="1" t="s">
        <v>163</v>
      </c>
      <c r="B227" s="1" t="s">
        <v>382</v>
      </c>
      <c r="C227" s="1" t="s">
        <v>118</v>
      </c>
      <c r="D227" s="2">
        <v>45754</v>
      </c>
      <c r="E227" s="3">
        <f>700*0.72/2</f>
        <v>252</v>
      </c>
      <c r="F227" s="1" t="s">
        <v>162</v>
      </c>
      <c r="G227" s="3">
        <f>-835/4</f>
        <v>-208.75</v>
      </c>
      <c r="H227" s="2">
        <v>46028</v>
      </c>
      <c r="K227" s="6">
        <f t="shared" si="48"/>
        <v>43.25</v>
      </c>
      <c r="L227" s="1">
        <f t="shared" si="45"/>
        <v>1</v>
      </c>
      <c r="M227" s="1">
        <v>1</v>
      </c>
    </row>
    <row r="228" spans="1:13" x14ac:dyDescent="0.45">
      <c r="A228" s="1" t="s">
        <v>163</v>
      </c>
      <c r="B228" s="1" t="s">
        <v>383</v>
      </c>
      <c r="C228" s="1" t="s">
        <v>118</v>
      </c>
      <c r="D228" s="2">
        <v>45754</v>
      </c>
      <c r="E228" s="3">
        <f t="shared" ref="E228:E230" si="55">700*0.72/2</f>
        <v>252</v>
      </c>
      <c r="F228" s="1" t="s">
        <v>162</v>
      </c>
      <c r="G228" s="3">
        <f>-835/4</f>
        <v>-208.75</v>
      </c>
      <c r="H228" s="2">
        <v>46028</v>
      </c>
      <c r="K228" s="6">
        <f t="shared" si="48"/>
        <v>43.25</v>
      </c>
      <c r="L228" s="1">
        <f t="shared" si="45"/>
        <v>1</v>
      </c>
      <c r="M228" s="1">
        <v>1</v>
      </c>
    </row>
    <row r="229" spans="1:13" x14ac:dyDescent="0.45">
      <c r="A229" s="1" t="s">
        <v>163</v>
      </c>
      <c r="B229" s="1" t="s">
        <v>384</v>
      </c>
      <c r="C229" s="1" t="s">
        <v>118</v>
      </c>
      <c r="D229" s="2">
        <v>45754</v>
      </c>
      <c r="E229" s="3">
        <f t="shared" si="55"/>
        <v>252</v>
      </c>
      <c r="F229" s="1" t="s">
        <v>162</v>
      </c>
      <c r="G229" s="3">
        <f>-835/4</f>
        <v>-208.75</v>
      </c>
      <c r="H229" s="2">
        <v>46028</v>
      </c>
      <c r="K229" s="6">
        <f t="shared" si="48"/>
        <v>43.25</v>
      </c>
      <c r="L229" s="1">
        <f t="shared" si="45"/>
        <v>1</v>
      </c>
      <c r="M229" s="1">
        <v>1</v>
      </c>
    </row>
    <row r="230" spans="1:13" x14ac:dyDescent="0.45">
      <c r="A230" s="1" t="s">
        <v>163</v>
      </c>
      <c r="B230" s="1" t="s">
        <v>385</v>
      </c>
      <c r="C230" s="1" t="s">
        <v>118</v>
      </c>
      <c r="D230" s="2">
        <v>45754</v>
      </c>
      <c r="E230" s="3">
        <f t="shared" si="55"/>
        <v>252</v>
      </c>
      <c r="F230" s="1" t="s">
        <v>162</v>
      </c>
      <c r="G230" s="3">
        <f>-835/4</f>
        <v>-208.75</v>
      </c>
      <c r="H230" s="2">
        <v>46028</v>
      </c>
      <c r="K230" s="6">
        <f t="shared" si="48"/>
        <v>43.25</v>
      </c>
      <c r="L230" s="1">
        <f t="shared" si="45"/>
        <v>1</v>
      </c>
      <c r="M230" s="1">
        <v>1</v>
      </c>
    </row>
    <row r="231" spans="1:13" x14ac:dyDescent="0.45">
      <c r="A231" s="1" t="s">
        <v>163</v>
      </c>
      <c r="B231" s="1" t="s">
        <v>386</v>
      </c>
      <c r="C231" s="1" t="s">
        <v>118</v>
      </c>
      <c r="D231" s="2">
        <v>45937</v>
      </c>
      <c r="E231" s="3">
        <f>700*0.65/2</f>
        <v>227.5</v>
      </c>
      <c r="F231" s="1" t="s">
        <v>162</v>
      </c>
      <c r="G231" s="3">
        <f>-441/2</f>
        <v>-220.5</v>
      </c>
      <c r="H231" s="2">
        <v>46010</v>
      </c>
      <c r="I231" s="2">
        <v>45954</v>
      </c>
      <c r="K231" s="6">
        <f t="shared" si="48"/>
        <v>7</v>
      </c>
      <c r="L231" s="1">
        <f t="shared" si="45"/>
        <v>1</v>
      </c>
      <c r="M231" s="1">
        <v>1</v>
      </c>
    </row>
    <row r="232" spans="1:13" x14ac:dyDescent="0.45">
      <c r="A232" s="1" t="s">
        <v>163</v>
      </c>
      <c r="B232" s="1" t="s">
        <v>387</v>
      </c>
      <c r="C232" s="1" t="s">
        <v>118</v>
      </c>
      <c r="D232" s="2">
        <v>45937</v>
      </c>
      <c r="E232" s="3">
        <f>700*0.65/2</f>
        <v>227.5</v>
      </c>
      <c r="F232" s="1" t="s">
        <v>162</v>
      </c>
      <c r="G232" s="3">
        <f>-441/2</f>
        <v>-220.5</v>
      </c>
      <c r="H232" s="2">
        <v>46010</v>
      </c>
      <c r="I232" s="2">
        <v>45955</v>
      </c>
      <c r="K232" s="6">
        <f t="shared" si="48"/>
        <v>7</v>
      </c>
      <c r="L232" s="1">
        <f t="shared" si="45"/>
        <v>1</v>
      </c>
      <c r="M232" s="1">
        <v>1</v>
      </c>
    </row>
    <row r="233" spans="1:13" x14ac:dyDescent="0.45">
      <c r="A233" s="1" t="s">
        <v>166</v>
      </c>
      <c r="B233" s="1" t="s">
        <v>167</v>
      </c>
      <c r="D233" s="2">
        <v>45930</v>
      </c>
      <c r="E233" s="1">
        <v>210</v>
      </c>
      <c r="F233" s="1" t="s">
        <v>125</v>
      </c>
      <c r="K233" s="6">
        <f t="shared" si="48"/>
        <v>210</v>
      </c>
      <c r="L233" s="1" t="str">
        <f t="shared" si="45"/>
        <v/>
      </c>
      <c r="M233" s="1">
        <v>1</v>
      </c>
    </row>
    <row r="234" spans="1:13" x14ac:dyDescent="0.45">
      <c r="A234" s="1" t="s">
        <v>166</v>
      </c>
      <c r="B234" s="1" t="s">
        <v>168</v>
      </c>
      <c r="D234" s="2">
        <v>45930</v>
      </c>
      <c r="E234" s="1">
        <v>210</v>
      </c>
      <c r="F234" s="1" t="s">
        <v>125</v>
      </c>
      <c r="K234" s="6">
        <f t="shared" si="48"/>
        <v>210</v>
      </c>
      <c r="L234" s="1" t="str">
        <f t="shared" si="45"/>
        <v/>
      </c>
      <c r="M234" s="1">
        <v>1</v>
      </c>
    </row>
    <row r="235" spans="1:13" x14ac:dyDescent="0.45">
      <c r="A235" s="1" t="s">
        <v>166</v>
      </c>
      <c r="B235" s="1" t="s">
        <v>169</v>
      </c>
      <c r="D235" s="2">
        <v>45930</v>
      </c>
      <c r="E235" s="1">
        <v>204</v>
      </c>
      <c r="F235" s="1" t="s">
        <v>125</v>
      </c>
      <c r="K235" s="6">
        <f t="shared" si="48"/>
        <v>204</v>
      </c>
      <c r="L235" s="1" t="str">
        <f t="shared" si="45"/>
        <v/>
      </c>
      <c r="M235" s="1">
        <v>1</v>
      </c>
    </row>
    <row r="236" spans="1:13" x14ac:dyDescent="0.45">
      <c r="A236" s="1" t="s">
        <v>170</v>
      </c>
      <c r="B236" s="1" t="s">
        <v>171</v>
      </c>
      <c r="C236" s="1" t="s">
        <v>118</v>
      </c>
      <c r="D236" s="2">
        <v>45930</v>
      </c>
      <c r="E236" s="1">
        <f>792/4</f>
        <v>198</v>
      </c>
      <c r="F236" s="1" t="s">
        <v>184</v>
      </c>
      <c r="I236" s="2">
        <v>45928</v>
      </c>
      <c r="J236" s="1" t="s">
        <v>607</v>
      </c>
      <c r="K236" s="6">
        <f t="shared" si="48"/>
        <v>198</v>
      </c>
      <c r="L236" s="1">
        <f t="shared" si="45"/>
        <v>1</v>
      </c>
      <c r="M236" s="1">
        <v>1</v>
      </c>
    </row>
    <row r="237" spans="1:13" x14ac:dyDescent="0.45">
      <c r="A237" s="1" t="s">
        <v>170</v>
      </c>
      <c r="B237" s="1" t="s">
        <v>172</v>
      </c>
      <c r="C237" s="1" t="s">
        <v>118</v>
      </c>
      <c r="D237" s="2">
        <v>45930</v>
      </c>
      <c r="E237" s="1">
        <f t="shared" ref="E237:E239" si="56">792/4</f>
        <v>198</v>
      </c>
      <c r="F237" s="1" t="s">
        <v>184</v>
      </c>
      <c r="I237" s="2">
        <v>45944</v>
      </c>
      <c r="J237" s="1" t="s">
        <v>670</v>
      </c>
      <c r="K237" s="6">
        <f t="shared" si="48"/>
        <v>198</v>
      </c>
      <c r="L237" s="1">
        <f t="shared" si="45"/>
        <v>1</v>
      </c>
      <c r="M237" s="1">
        <v>1</v>
      </c>
    </row>
    <row r="238" spans="1:13" x14ac:dyDescent="0.45">
      <c r="A238" s="1" t="s">
        <v>170</v>
      </c>
      <c r="B238" s="1" t="s">
        <v>173</v>
      </c>
      <c r="C238" s="1" t="s">
        <v>118</v>
      </c>
      <c r="D238" s="2">
        <v>45930</v>
      </c>
      <c r="E238" s="1">
        <f t="shared" si="56"/>
        <v>198</v>
      </c>
      <c r="F238" s="1" t="s">
        <v>184</v>
      </c>
      <c r="I238" s="2">
        <v>45947</v>
      </c>
      <c r="J238" s="1" t="s">
        <v>675</v>
      </c>
      <c r="K238" s="6">
        <f t="shared" si="48"/>
        <v>198</v>
      </c>
      <c r="L238" s="1">
        <f t="shared" si="45"/>
        <v>1</v>
      </c>
      <c r="M238" s="1">
        <v>1</v>
      </c>
    </row>
    <row r="239" spans="1:13" x14ac:dyDescent="0.45">
      <c r="A239" s="1" t="s">
        <v>170</v>
      </c>
      <c r="B239" s="1" t="s">
        <v>174</v>
      </c>
      <c r="C239" s="1" t="s">
        <v>118</v>
      </c>
      <c r="D239" s="2">
        <v>45930</v>
      </c>
      <c r="E239" s="1">
        <f t="shared" si="56"/>
        <v>198</v>
      </c>
      <c r="F239" s="1" t="s">
        <v>184</v>
      </c>
      <c r="I239" s="2">
        <v>45951</v>
      </c>
      <c r="K239" s="6">
        <f t="shared" si="48"/>
        <v>198</v>
      </c>
      <c r="L239" s="1">
        <f t="shared" si="45"/>
        <v>1</v>
      </c>
      <c r="M239" s="1">
        <v>1</v>
      </c>
    </row>
    <row r="240" spans="1:13" x14ac:dyDescent="0.45">
      <c r="A240" s="1" t="s">
        <v>170</v>
      </c>
      <c r="B240" s="1" t="s">
        <v>175</v>
      </c>
      <c r="C240" s="1" t="s">
        <v>118</v>
      </c>
      <c r="D240" s="2">
        <v>45930</v>
      </c>
      <c r="E240" s="3">
        <f>1109/6</f>
        <v>184.83333333333334</v>
      </c>
      <c r="F240" s="1" t="s">
        <v>184</v>
      </c>
      <c r="I240" s="2">
        <v>46040</v>
      </c>
      <c r="K240" s="6">
        <f t="shared" si="48"/>
        <v>184.83333333333334</v>
      </c>
      <c r="L240" s="1">
        <f t="shared" si="45"/>
        <v>1</v>
      </c>
      <c r="M240" s="1">
        <v>1</v>
      </c>
    </row>
    <row r="241" spans="1:13" x14ac:dyDescent="0.45">
      <c r="A241" s="1" t="s">
        <v>170</v>
      </c>
      <c r="B241" s="1" t="s">
        <v>176</v>
      </c>
      <c r="C241" s="1" t="s">
        <v>608</v>
      </c>
      <c r="D241" s="2">
        <v>45930</v>
      </c>
      <c r="E241" s="3">
        <f t="shared" ref="E241:E245" si="57">1109/6</f>
        <v>184.83333333333334</v>
      </c>
      <c r="F241" s="1" t="s">
        <v>184</v>
      </c>
      <c r="I241" s="2">
        <v>46062</v>
      </c>
      <c r="K241" s="6">
        <f t="shared" si="48"/>
        <v>184.83333333333334</v>
      </c>
      <c r="L241" s="1">
        <f t="shared" si="45"/>
        <v>1</v>
      </c>
      <c r="M241" s="1">
        <v>1</v>
      </c>
    </row>
    <row r="242" spans="1:13" x14ac:dyDescent="0.45">
      <c r="A242" s="1" t="s">
        <v>170</v>
      </c>
      <c r="B242" s="1" t="s">
        <v>177</v>
      </c>
      <c r="D242" s="2">
        <v>45930</v>
      </c>
      <c r="E242" s="3">
        <f t="shared" si="57"/>
        <v>184.83333333333334</v>
      </c>
      <c r="F242" s="1" t="s">
        <v>184</v>
      </c>
      <c r="K242" s="6">
        <f t="shared" si="48"/>
        <v>184.83333333333334</v>
      </c>
      <c r="L242" s="1" t="str">
        <f t="shared" si="45"/>
        <v/>
      </c>
      <c r="M242" s="1">
        <v>1</v>
      </c>
    </row>
    <row r="243" spans="1:13" x14ac:dyDescent="0.45">
      <c r="A243" s="1" t="s">
        <v>170</v>
      </c>
      <c r="B243" s="1" t="s">
        <v>178</v>
      </c>
      <c r="D243" s="2">
        <v>45930</v>
      </c>
      <c r="E243" s="3">
        <f t="shared" si="57"/>
        <v>184.83333333333334</v>
      </c>
      <c r="F243" s="1" t="s">
        <v>184</v>
      </c>
      <c r="K243" s="6">
        <f t="shared" si="48"/>
        <v>184.83333333333334</v>
      </c>
      <c r="L243" s="1" t="str">
        <f t="shared" si="45"/>
        <v/>
      </c>
      <c r="M243" s="1">
        <v>1</v>
      </c>
    </row>
    <row r="244" spans="1:13" x14ac:dyDescent="0.45">
      <c r="A244" s="1" t="s">
        <v>170</v>
      </c>
      <c r="B244" s="1" t="s">
        <v>179</v>
      </c>
      <c r="D244" s="2">
        <v>45930</v>
      </c>
      <c r="E244" s="3">
        <f t="shared" si="57"/>
        <v>184.83333333333334</v>
      </c>
      <c r="F244" s="1" t="s">
        <v>184</v>
      </c>
      <c r="K244" s="6">
        <f t="shared" si="48"/>
        <v>184.83333333333334</v>
      </c>
      <c r="L244" s="1" t="str">
        <f t="shared" si="45"/>
        <v/>
      </c>
      <c r="M244" s="1">
        <v>1</v>
      </c>
    </row>
    <row r="245" spans="1:13" x14ac:dyDescent="0.45">
      <c r="A245" s="1" t="s">
        <v>170</v>
      </c>
      <c r="B245" s="1" t="s">
        <v>180</v>
      </c>
      <c r="D245" s="2">
        <v>45930</v>
      </c>
      <c r="E245" s="3">
        <f t="shared" si="57"/>
        <v>184.83333333333334</v>
      </c>
      <c r="F245" s="1" t="s">
        <v>184</v>
      </c>
      <c r="K245" s="6">
        <f t="shared" si="48"/>
        <v>184.83333333333334</v>
      </c>
      <c r="L245" s="1" t="str">
        <f t="shared" si="45"/>
        <v/>
      </c>
      <c r="M245" s="1">
        <v>1</v>
      </c>
    </row>
    <row r="246" spans="1:13" x14ac:dyDescent="0.45">
      <c r="A246" s="1" t="s">
        <v>170</v>
      </c>
      <c r="B246" s="1" t="s">
        <v>181</v>
      </c>
      <c r="D246" s="2">
        <v>45930</v>
      </c>
      <c r="E246" s="3">
        <f>554/3</f>
        <v>184.66666666666666</v>
      </c>
      <c r="F246" s="1" t="s">
        <v>184</v>
      </c>
      <c r="K246" s="6">
        <f t="shared" si="48"/>
        <v>184.66666666666666</v>
      </c>
      <c r="L246" s="1" t="str">
        <f t="shared" si="45"/>
        <v/>
      </c>
      <c r="M246" s="1">
        <v>1</v>
      </c>
    </row>
    <row r="247" spans="1:13" x14ac:dyDescent="0.45">
      <c r="A247" s="1" t="s">
        <v>170</v>
      </c>
      <c r="B247" s="1" t="s">
        <v>182</v>
      </c>
      <c r="D247" s="2">
        <v>45930</v>
      </c>
      <c r="E247" s="3">
        <f t="shared" ref="E247:E248" si="58">554/3</f>
        <v>184.66666666666666</v>
      </c>
      <c r="F247" s="1" t="s">
        <v>184</v>
      </c>
      <c r="K247" s="6">
        <f t="shared" si="48"/>
        <v>184.66666666666666</v>
      </c>
      <c r="L247" s="1" t="str">
        <f t="shared" si="45"/>
        <v/>
      </c>
      <c r="M247" s="1">
        <v>1</v>
      </c>
    </row>
    <row r="248" spans="1:13" x14ac:dyDescent="0.45">
      <c r="A248" s="1" t="s">
        <v>170</v>
      </c>
      <c r="B248" s="1" t="s">
        <v>183</v>
      </c>
      <c r="D248" s="2">
        <v>45930</v>
      </c>
      <c r="E248" s="3">
        <f t="shared" si="58"/>
        <v>184.66666666666666</v>
      </c>
      <c r="F248" s="1" t="s">
        <v>184</v>
      </c>
      <c r="K248" s="6">
        <f t="shared" si="48"/>
        <v>184.66666666666666</v>
      </c>
      <c r="L248" s="1" t="str">
        <f t="shared" si="45"/>
        <v/>
      </c>
      <c r="M248" s="1">
        <v>1</v>
      </c>
    </row>
    <row r="249" spans="1:13" x14ac:dyDescent="0.45">
      <c r="A249" s="1" t="s">
        <v>185</v>
      </c>
      <c r="B249" s="1" t="s">
        <v>186</v>
      </c>
      <c r="D249" s="2">
        <v>45867</v>
      </c>
      <c r="E249" s="1">
        <v>270</v>
      </c>
      <c r="F249" s="1" t="s">
        <v>184</v>
      </c>
      <c r="K249" s="6">
        <f t="shared" si="48"/>
        <v>270</v>
      </c>
      <c r="L249" s="1" t="str">
        <f t="shared" si="45"/>
        <v/>
      </c>
      <c r="M249" s="1">
        <v>1</v>
      </c>
    </row>
    <row r="250" spans="1:13" x14ac:dyDescent="0.45">
      <c r="A250" s="1" t="s">
        <v>192</v>
      </c>
      <c r="B250" s="1" t="s">
        <v>187</v>
      </c>
      <c r="D250" s="2">
        <v>45867</v>
      </c>
      <c r="E250" s="1">
        <v>291</v>
      </c>
      <c r="F250" s="1" t="s">
        <v>184</v>
      </c>
      <c r="K250" s="6">
        <f t="shared" si="48"/>
        <v>291</v>
      </c>
      <c r="L250" s="1" t="str">
        <f t="shared" si="45"/>
        <v/>
      </c>
      <c r="M250" s="1">
        <v>1</v>
      </c>
    </row>
    <row r="251" spans="1:13" x14ac:dyDescent="0.45">
      <c r="A251" s="1" t="s">
        <v>192</v>
      </c>
      <c r="B251" s="1" t="s">
        <v>188</v>
      </c>
      <c r="D251" s="2">
        <v>45867</v>
      </c>
      <c r="E251" s="3">
        <f>990/4</f>
        <v>247.5</v>
      </c>
      <c r="F251" s="1" t="s">
        <v>184</v>
      </c>
      <c r="K251" s="6">
        <f t="shared" si="48"/>
        <v>247.5</v>
      </c>
      <c r="L251" s="1" t="str">
        <f t="shared" si="45"/>
        <v/>
      </c>
      <c r="M251" s="1">
        <v>1</v>
      </c>
    </row>
    <row r="252" spans="1:13" x14ac:dyDescent="0.45">
      <c r="A252" s="1" t="s">
        <v>192</v>
      </c>
      <c r="B252" s="1" t="s">
        <v>189</v>
      </c>
      <c r="D252" s="2">
        <v>45867</v>
      </c>
      <c r="E252" s="3">
        <f t="shared" ref="E252:E254" si="59">990/4</f>
        <v>247.5</v>
      </c>
      <c r="F252" s="1" t="s">
        <v>184</v>
      </c>
      <c r="K252" s="6">
        <f t="shared" si="48"/>
        <v>247.5</v>
      </c>
      <c r="L252" s="1" t="str">
        <f t="shared" si="45"/>
        <v/>
      </c>
      <c r="M252" s="1">
        <v>1</v>
      </c>
    </row>
    <row r="253" spans="1:13" x14ac:dyDescent="0.45">
      <c r="A253" s="1" t="s">
        <v>192</v>
      </c>
      <c r="B253" s="1" t="s">
        <v>190</v>
      </c>
      <c r="D253" s="2">
        <v>45867</v>
      </c>
      <c r="E253" s="3">
        <f t="shared" si="59"/>
        <v>247.5</v>
      </c>
      <c r="F253" s="1" t="s">
        <v>184</v>
      </c>
      <c r="K253" s="6">
        <f t="shared" si="48"/>
        <v>247.5</v>
      </c>
      <c r="L253" s="1" t="str">
        <f t="shared" si="45"/>
        <v/>
      </c>
      <c r="M253" s="1">
        <v>1</v>
      </c>
    </row>
    <row r="254" spans="1:13" x14ac:dyDescent="0.45">
      <c r="A254" s="1" t="s">
        <v>192</v>
      </c>
      <c r="B254" s="1" t="s">
        <v>191</v>
      </c>
      <c r="D254" s="2">
        <v>45867</v>
      </c>
      <c r="E254" s="3">
        <f t="shared" si="59"/>
        <v>247.5</v>
      </c>
      <c r="F254" s="1" t="s">
        <v>184</v>
      </c>
      <c r="K254" s="6">
        <f t="shared" si="48"/>
        <v>247.5</v>
      </c>
      <c r="L254" s="1" t="str">
        <f t="shared" si="45"/>
        <v/>
      </c>
      <c r="M254" s="1">
        <v>1</v>
      </c>
    </row>
    <row r="255" spans="1:13" x14ac:dyDescent="0.45">
      <c r="A255" s="1" t="s">
        <v>193</v>
      </c>
      <c r="B255" s="1" t="s">
        <v>194</v>
      </c>
      <c r="D255" s="2">
        <v>45862</v>
      </c>
      <c r="E255" s="1">
        <v>1393</v>
      </c>
      <c r="F255" s="1" t="s">
        <v>184</v>
      </c>
      <c r="K255" s="6">
        <f t="shared" si="48"/>
        <v>1393</v>
      </c>
      <c r="L255" s="1" t="str">
        <f t="shared" si="45"/>
        <v/>
      </c>
      <c r="M255" s="1">
        <v>1</v>
      </c>
    </row>
    <row r="256" spans="1:13" x14ac:dyDescent="0.45">
      <c r="A256" s="1" t="s">
        <v>193</v>
      </c>
      <c r="B256" s="1" t="s">
        <v>195</v>
      </c>
      <c r="D256" s="2">
        <v>45862</v>
      </c>
      <c r="E256" s="1">
        <v>903</v>
      </c>
      <c r="F256" s="1" t="s">
        <v>184</v>
      </c>
      <c r="K256" s="6">
        <f t="shared" si="48"/>
        <v>903</v>
      </c>
      <c r="L256" s="1" t="str">
        <f t="shared" si="45"/>
        <v/>
      </c>
      <c r="M256" s="1">
        <v>1</v>
      </c>
    </row>
    <row r="257" spans="1:13" x14ac:dyDescent="0.45">
      <c r="A257" s="1" t="s">
        <v>196</v>
      </c>
      <c r="B257" s="1" t="s">
        <v>197</v>
      </c>
      <c r="D257" s="2">
        <v>45832</v>
      </c>
      <c r="E257" s="1">
        <v>199</v>
      </c>
      <c r="F257" s="1" t="s">
        <v>184</v>
      </c>
      <c r="K257" s="6">
        <f t="shared" si="48"/>
        <v>199</v>
      </c>
      <c r="L257" s="1" t="str">
        <f t="shared" si="45"/>
        <v/>
      </c>
      <c r="M257" s="1">
        <v>1</v>
      </c>
    </row>
    <row r="258" spans="1:13" x14ac:dyDescent="0.45">
      <c r="A258" s="1" t="s">
        <v>196</v>
      </c>
      <c r="B258" s="1" t="s">
        <v>198</v>
      </c>
      <c r="C258" s="1" t="s">
        <v>605</v>
      </c>
      <c r="D258" s="2">
        <v>45832</v>
      </c>
      <c r="E258" s="1">
        <v>100</v>
      </c>
      <c r="F258" s="1" t="s">
        <v>184</v>
      </c>
      <c r="I258" s="2">
        <v>46048</v>
      </c>
      <c r="K258" s="6">
        <f t="shared" si="48"/>
        <v>100</v>
      </c>
      <c r="L258" s="1">
        <f t="shared" si="45"/>
        <v>1</v>
      </c>
      <c r="M258" s="1">
        <v>1</v>
      </c>
    </row>
    <row r="259" spans="1:13" x14ac:dyDescent="0.45">
      <c r="A259" s="1" t="s">
        <v>196</v>
      </c>
      <c r="B259" s="1" t="s">
        <v>199</v>
      </c>
      <c r="C259" s="1" t="s">
        <v>559</v>
      </c>
      <c r="D259" s="2">
        <v>45832</v>
      </c>
      <c r="E259" s="1">
        <v>100</v>
      </c>
      <c r="F259" s="1" t="s">
        <v>184</v>
      </c>
      <c r="G259" s="1">
        <v>-163</v>
      </c>
      <c r="H259" s="2">
        <v>46053</v>
      </c>
      <c r="I259" s="2">
        <v>46012</v>
      </c>
      <c r="K259" s="6">
        <f t="shared" si="48"/>
        <v>-63</v>
      </c>
      <c r="L259" s="1">
        <f t="shared" ref="L259:L329" si="60">IF(C259="V",1,IF(C259="X",0,""))</f>
        <v>1</v>
      </c>
      <c r="M259" s="1">
        <v>1</v>
      </c>
    </row>
    <row r="260" spans="1:13" x14ac:dyDescent="0.45">
      <c r="A260" s="1" t="s">
        <v>196</v>
      </c>
      <c r="B260" s="1" t="s">
        <v>200</v>
      </c>
      <c r="D260" s="2">
        <v>45832</v>
      </c>
      <c r="E260" s="1">
        <f>450/2</f>
        <v>225</v>
      </c>
      <c r="F260" s="1" t="s">
        <v>184</v>
      </c>
      <c r="K260" s="6">
        <f t="shared" si="48"/>
        <v>225</v>
      </c>
      <c r="L260" s="1" t="str">
        <f t="shared" si="60"/>
        <v/>
      </c>
      <c r="M260" s="1">
        <v>1</v>
      </c>
    </row>
    <row r="261" spans="1:13" x14ac:dyDescent="0.45">
      <c r="A261" s="1" t="s">
        <v>196</v>
      </c>
      <c r="B261" s="1" t="s">
        <v>201</v>
      </c>
      <c r="D261" s="2">
        <v>45832</v>
      </c>
      <c r="E261" s="1">
        <f>450/2</f>
        <v>225</v>
      </c>
      <c r="F261" s="1" t="s">
        <v>184</v>
      </c>
      <c r="K261" s="6">
        <f t="shared" si="48"/>
        <v>225</v>
      </c>
      <c r="L261" s="1" t="str">
        <f t="shared" si="60"/>
        <v/>
      </c>
      <c r="M261" s="1">
        <v>1</v>
      </c>
    </row>
    <row r="262" spans="1:13" x14ac:dyDescent="0.45">
      <c r="A262" s="1" t="s">
        <v>196</v>
      </c>
      <c r="B262" s="1" t="s">
        <v>202</v>
      </c>
      <c r="C262" s="1" t="s">
        <v>118</v>
      </c>
      <c r="D262" s="2">
        <v>45832</v>
      </c>
      <c r="E262" s="3">
        <f>554/3</f>
        <v>184.66666666666666</v>
      </c>
      <c r="F262" s="1" t="s">
        <v>184</v>
      </c>
      <c r="K262" s="6">
        <f t="shared" si="48"/>
        <v>184.66666666666666</v>
      </c>
      <c r="L262" s="1">
        <f t="shared" si="60"/>
        <v>1</v>
      </c>
      <c r="M262" s="1">
        <v>1</v>
      </c>
    </row>
    <row r="263" spans="1:13" x14ac:dyDescent="0.45">
      <c r="A263" s="1" t="s">
        <v>196</v>
      </c>
      <c r="B263" s="1" t="s">
        <v>203</v>
      </c>
      <c r="C263" s="1" t="s">
        <v>118</v>
      </c>
      <c r="D263" s="2">
        <v>45832</v>
      </c>
      <c r="E263" s="3">
        <f t="shared" ref="E263:E264" si="61">554/3</f>
        <v>184.66666666666666</v>
      </c>
      <c r="F263" s="1" t="s">
        <v>184</v>
      </c>
      <c r="I263" s="2">
        <v>45914</v>
      </c>
      <c r="K263" s="6">
        <f t="shared" si="48"/>
        <v>184.66666666666666</v>
      </c>
      <c r="L263" s="1">
        <f t="shared" si="60"/>
        <v>1</v>
      </c>
      <c r="M263" s="1">
        <v>1</v>
      </c>
    </row>
    <row r="264" spans="1:13" x14ac:dyDescent="0.45">
      <c r="A264" s="1" t="s">
        <v>196</v>
      </c>
      <c r="B264" s="1" t="s">
        <v>204</v>
      </c>
      <c r="C264" s="1" t="s">
        <v>118</v>
      </c>
      <c r="D264" s="2">
        <v>45832</v>
      </c>
      <c r="E264" s="3">
        <f t="shared" si="61"/>
        <v>184.66666666666666</v>
      </c>
      <c r="F264" s="1" t="s">
        <v>184</v>
      </c>
      <c r="I264" s="2">
        <v>45934</v>
      </c>
      <c r="K264" s="6">
        <f t="shared" si="48"/>
        <v>184.66666666666666</v>
      </c>
      <c r="L264" s="1">
        <f t="shared" si="60"/>
        <v>1</v>
      </c>
      <c r="M264" s="1">
        <v>1</v>
      </c>
    </row>
    <row r="265" spans="1:13" x14ac:dyDescent="0.45">
      <c r="A265" s="1" t="s">
        <v>196</v>
      </c>
      <c r="B265" s="1" t="s">
        <v>205</v>
      </c>
      <c r="D265" s="2">
        <v>45832</v>
      </c>
      <c r="E265" s="1">
        <v>200</v>
      </c>
      <c r="F265" s="1" t="s">
        <v>184</v>
      </c>
      <c r="K265" s="6">
        <f t="shared" si="48"/>
        <v>200</v>
      </c>
      <c r="L265" s="1" t="str">
        <f t="shared" si="60"/>
        <v/>
      </c>
      <c r="M265" s="1">
        <v>1</v>
      </c>
    </row>
    <row r="266" spans="1:13" x14ac:dyDescent="0.45">
      <c r="A266" s="1" t="s">
        <v>196</v>
      </c>
      <c r="B266" s="1" t="s">
        <v>206</v>
      </c>
      <c r="D266" s="2">
        <v>45832</v>
      </c>
      <c r="E266" s="1">
        <v>200</v>
      </c>
      <c r="F266" s="1" t="s">
        <v>184</v>
      </c>
      <c r="K266" s="6">
        <f t="shared" si="48"/>
        <v>200</v>
      </c>
      <c r="L266" s="1" t="str">
        <f t="shared" si="60"/>
        <v/>
      </c>
      <c r="M266" s="1">
        <v>1</v>
      </c>
    </row>
    <row r="267" spans="1:13" x14ac:dyDescent="0.45">
      <c r="A267" s="1" t="s">
        <v>196</v>
      </c>
      <c r="B267" s="1" t="s">
        <v>207</v>
      </c>
      <c r="D267" s="2">
        <v>45832</v>
      </c>
      <c r="E267" s="1">
        <v>200</v>
      </c>
      <c r="F267" s="1" t="s">
        <v>184</v>
      </c>
      <c r="K267" s="6">
        <f t="shared" si="48"/>
        <v>200</v>
      </c>
      <c r="L267" s="1" t="str">
        <f t="shared" si="60"/>
        <v/>
      </c>
      <c r="M267" s="1">
        <v>1</v>
      </c>
    </row>
    <row r="268" spans="1:13" x14ac:dyDescent="0.45">
      <c r="A268" s="1" t="s">
        <v>196</v>
      </c>
      <c r="B268" s="1" t="s">
        <v>208</v>
      </c>
      <c r="D268" s="2">
        <v>45832</v>
      </c>
      <c r="E268" s="1">
        <v>200</v>
      </c>
      <c r="F268" s="1" t="s">
        <v>184</v>
      </c>
      <c r="K268" s="6">
        <f t="shared" si="48"/>
        <v>200</v>
      </c>
      <c r="L268" s="1" t="str">
        <f t="shared" si="60"/>
        <v/>
      </c>
      <c r="M268" s="1">
        <v>1</v>
      </c>
    </row>
    <row r="269" spans="1:13" x14ac:dyDescent="0.45">
      <c r="A269" s="1" t="s">
        <v>196</v>
      </c>
      <c r="B269" s="1" t="s">
        <v>209</v>
      </c>
      <c r="D269" s="2">
        <v>45832</v>
      </c>
      <c r="E269" s="1">
        <v>200</v>
      </c>
      <c r="F269" s="1" t="s">
        <v>184</v>
      </c>
      <c r="K269" s="6">
        <f t="shared" si="48"/>
        <v>200</v>
      </c>
      <c r="L269" s="1" t="str">
        <f t="shared" si="60"/>
        <v/>
      </c>
      <c r="M269" s="1">
        <v>1</v>
      </c>
    </row>
    <row r="270" spans="1:13" x14ac:dyDescent="0.45">
      <c r="A270" s="1" t="s">
        <v>196</v>
      </c>
      <c r="B270" s="1" t="s">
        <v>210</v>
      </c>
      <c r="C270" s="1" t="s">
        <v>414</v>
      </c>
      <c r="D270" s="2">
        <v>45832</v>
      </c>
      <c r="E270" s="1">
        <v>100</v>
      </c>
      <c r="F270" s="1" t="s">
        <v>184</v>
      </c>
      <c r="G270" s="3">
        <f>-125*0.925</f>
        <v>-115.625</v>
      </c>
      <c r="H270" s="2">
        <v>45990</v>
      </c>
      <c r="I270" s="2">
        <v>45956</v>
      </c>
      <c r="K270" s="6">
        <f t="shared" si="48"/>
        <v>-15.625</v>
      </c>
      <c r="L270" s="1">
        <f t="shared" si="60"/>
        <v>1</v>
      </c>
      <c r="M270" s="1">
        <v>1</v>
      </c>
    </row>
    <row r="271" spans="1:13" x14ac:dyDescent="0.45">
      <c r="A271" s="1" t="s">
        <v>196</v>
      </c>
      <c r="B271" s="1" t="s">
        <v>595</v>
      </c>
      <c r="D271" s="2">
        <v>46037</v>
      </c>
      <c r="E271" s="3">
        <v>261</v>
      </c>
      <c r="F271" s="1" t="s">
        <v>594</v>
      </c>
      <c r="K271" s="6">
        <f t="shared" ref="K271:K277" si="62">E271+G271</f>
        <v>261</v>
      </c>
      <c r="L271" s="1" t="str">
        <f t="shared" ref="L271:L277" si="63">IF(C271="V",1,IF(C271="X",0,""))</f>
        <v/>
      </c>
      <c r="M271" s="1">
        <v>1</v>
      </c>
    </row>
    <row r="272" spans="1:13" x14ac:dyDescent="0.45">
      <c r="A272" s="1" t="s">
        <v>196</v>
      </c>
      <c r="B272" s="1" t="s">
        <v>596</v>
      </c>
      <c r="D272" s="2">
        <v>46037</v>
      </c>
      <c r="E272" s="1">
        <v>144</v>
      </c>
      <c r="F272" s="1" t="s">
        <v>594</v>
      </c>
      <c r="K272" s="6">
        <f t="shared" si="62"/>
        <v>144</v>
      </c>
      <c r="L272" s="1" t="str">
        <f t="shared" si="63"/>
        <v/>
      </c>
      <c r="M272" s="1">
        <v>1</v>
      </c>
    </row>
    <row r="273" spans="1:13" x14ac:dyDescent="0.45">
      <c r="A273" s="1" t="s">
        <v>196</v>
      </c>
      <c r="B273" s="1" t="s">
        <v>597</v>
      </c>
      <c r="D273" s="2">
        <v>46037</v>
      </c>
      <c r="E273" s="1">
        <v>144</v>
      </c>
      <c r="F273" s="1" t="s">
        <v>594</v>
      </c>
      <c r="K273" s="6">
        <f t="shared" si="62"/>
        <v>144</v>
      </c>
      <c r="L273" s="1" t="str">
        <f t="shared" si="63"/>
        <v/>
      </c>
      <c r="M273" s="1">
        <v>1</v>
      </c>
    </row>
    <row r="274" spans="1:13" x14ac:dyDescent="0.45">
      <c r="A274" s="1" t="s">
        <v>196</v>
      </c>
      <c r="B274" s="1" t="s">
        <v>598</v>
      </c>
      <c r="D274" s="2">
        <v>46037</v>
      </c>
      <c r="E274" s="1">
        <v>180</v>
      </c>
      <c r="F274" s="1" t="s">
        <v>594</v>
      </c>
      <c r="K274" s="6">
        <f t="shared" si="62"/>
        <v>180</v>
      </c>
      <c r="L274" s="1" t="str">
        <f t="shared" si="63"/>
        <v/>
      </c>
      <c r="M274" s="1">
        <v>1</v>
      </c>
    </row>
    <row r="275" spans="1:13" x14ac:dyDescent="0.45">
      <c r="A275" s="1" t="s">
        <v>196</v>
      </c>
      <c r="B275" s="1" t="s">
        <v>599</v>
      </c>
      <c r="D275" s="2">
        <v>46037</v>
      </c>
      <c r="E275" s="1">
        <v>171</v>
      </c>
      <c r="F275" s="1" t="s">
        <v>594</v>
      </c>
      <c r="K275" s="6">
        <f t="shared" si="62"/>
        <v>171</v>
      </c>
      <c r="L275" s="1" t="str">
        <f t="shared" si="63"/>
        <v/>
      </c>
      <c r="M275" s="1">
        <v>1</v>
      </c>
    </row>
    <row r="276" spans="1:13" x14ac:dyDescent="0.45">
      <c r="A276" s="1" t="s">
        <v>196</v>
      </c>
      <c r="B276" s="1" t="s">
        <v>600</v>
      </c>
      <c r="D276" s="2">
        <v>46037</v>
      </c>
      <c r="E276" s="1">
        <v>171</v>
      </c>
      <c r="F276" s="1" t="s">
        <v>594</v>
      </c>
      <c r="K276" s="6">
        <f t="shared" si="62"/>
        <v>171</v>
      </c>
      <c r="L276" s="1" t="str">
        <f t="shared" si="63"/>
        <v/>
      </c>
      <c r="M276" s="1">
        <v>1</v>
      </c>
    </row>
    <row r="277" spans="1:13" x14ac:dyDescent="0.45">
      <c r="A277" s="1" t="s">
        <v>196</v>
      </c>
      <c r="B277" s="1" t="s">
        <v>601</v>
      </c>
      <c r="D277" s="2">
        <v>46037</v>
      </c>
      <c r="E277" s="1">
        <v>171</v>
      </c>
      <c r="F277" s="1" t="s">
        <v>594</v>
      </c>
      <c r="K277" s="6">
        <f t="shared" si="62"/>
        <v>171</v>
      </c>
      <c r="L277" s="1" t="str">
        <f t="shared" si="63"/>
        <v/>
      </c>
      <c r="M277" s="1">
        <v>1</v>
      </c>
    </row>
    <row r="278" spans="1:13" x14ac:dyDescent="0.45">
      <c r="A278" s="1" t="s">
        <v>211</v>
      </c>
      <c r="B278" s="1" t="s">
        <v>552</v>
      </c>
      <c r="D278" s="2">
        <v>46009</v>
      </c>
      <c r="E278" s="3">
        <f>940/4</f>
        <v>235</v>
      </c>
      <c r="F278" s="1" t="s">
        <v>556</v>
      </c>
      <c r="I278" s="2"/>
      <c r="K278" s="6">
        <f t="shared" ref="K278:K281" si="64">E278+G278</f>
        <v>235</v>
      </c>
      <c r="L278" s="1" t="str">
        <f t="shared" si="60"/>
        <v/>
      </c>
      <c r="M278" s="1">
        <v>1</v>
      </c>
    </row>
    <row r="279" spans="1:13" x14ac:dyDescent="0.45">
      <c r="A279" s="1" t="s">
        <v>211</v>
      </c>
      <c r="B279" s="1" t="s">
        <v>553</v>
      </c>
      <c r="D279" s="2">
        <v>46009</v>
      </c>
      <c r="E279" s="3">
        <f t="shared" ref="E279:E281" si="65">940/4</f>
        <v>235</v>
      </c>
      <c r="F279" s="1" t="s">
        <v>556</v>
      </c>
      <c r="I279" s="2"/>
      <c r="K279" s="6">
        <f t="shared" si="64"/>
        <v>235</v>
      </c>
      <c r="L279" s="1" t="str">
        <f t="shared" si="60"/>
        <v/>
      </c>
      <c r="M279" s="1">
        <v>1</v>
      </c>
    </row>
    <row r="280" spans="1:13" x14ac:dyDescent="0.45">
      <c r="A280" s="1" t="s">
        <v>211</v>
      </c>
      <c r="B280" s="1" t="s">
        <v>554</v>
      </c>
      <c r="D280" s="2">
        <v>46009</v>
      </c>
      <c r="E280" s="3">
        <f t="shared" si="65"/>
        <v>235</v>
      </c>
      <c r="F280" s="1" t="s">
        <v>556</v>
      </c>
      <c r="I280" s="2"/>
      <c r="K280" s="6">
        <f t="shared" si="64"/>
        <v>235</v>
      </c>
      <c r="L280" s="1" t="str">
        <f t="shared" si="60"/>
        <v/>
      </c>
      <c r="M280" s="1">
        <v>1</v>
      </c>
    </row>
    <row r="281" spans="1:13" x14ac:dyDescent="0.45">
      <c r="A281" s="1" t="s">
        <v>211</v>
      </c>
      <c r="B281" s="1" t="s">
        <v>555</v>
      </c>
      <c r="D281" s="2">
        <v>46009</v>
      </c>
      <c r="E281" s="3">
        <f t="shared" si="65"/>
        <v>235</v>
      </c>
      <c r="F281" s="1" t="s">
        <v>556</v>
      </c>
      <c r="I281" s="2"/>
      <c r="K281" s="6">
        <f t="shared" si="64"/>
        <v>235</v>
      </c>
      <c r="L281" s="1" t="str">
        <f t="shared" si="60"/>
        <v/>
      </c>
      <c r="M281" s="1">
        <v>1</v>
      </c>
    </row>
    <row r="282" spans="1:13" x14ac:dyDescent="0.45">
      <c r="A282" s="1" t="s">
        <v>415</v>
      </c>
      <c r="B282" s="1" t="s">
        <v>416</v>
      </c>
      <c r="D282" s="2">
        <v>45962</v>
      </c>
      <c r="E282" s="3">
        <f>5947/35</f>
        <v>169.91428571428571</v>
      </c>
      <c r="F282" s="1" t="s">
        <v>125</v>
      </c>
      <c r="I282" s="2"/>
      <c r="J282" s="1" t="s">
        <v>450</v>
      </c>
      <c r="K282" s="6">
        <f t="shared" si="48"/>
        <v>169.91428571428571</v>
      </c>
      <c r="L282" s="1" t="str">
        <f t="shared" si="60"/>
        <v/>
      </c>
      <c r="M282" s="1">
        <v>1</v>
      </c>
    </row>
    <row r="283" spans="1:13" x14ac:dyDescent="0.45">
      <c r="A283" s="1" t="s">
        <v>415</v>
      </c>
      <c r="B283" s="1" t="s">
        <v>417</v>
      </c>
      <c r="D283" s="2">
        <v>45962</v>
      </c>
      <c r="E283" s="3">
        <f t="shared" ref="E283:E316" si="66">5947/35</f>
        <v>169.91428571428571</v>
      </c>
      <c r="F283" s="1" t="s">
        <v>125</v>
      </c>
      <c r="I283" s="2"/>
      <c r="J283" s="1" t="s">
        <v>450</v>
      </c>
      <c r="K283" s="6">
        <f t="shared" si="48"/>
        <v>169.91428571428571</v>
      </c>
      <c r="L283" s="1" t="str">
        <f t="shared" si="60"/>
        <v/>
      </c>
      <c r="M283" s="1">
        <v>1</v>
      </c>
    </row>
    <row r="284" spans="1:13" x14ac:dyDescent="0.45">
      <c r="A284" s="1" t="s">
        <v>415</v>
      </c>
      <c r="B284" s="1" t="s">
        <v>418</v>
      </c>
      <c r="D284" s="2">
        <v>45962</v>
      </c>
      <c r="E284" s="3">
        <f t="shared" si="66"/>
        <v>169.91428571428571</v>
      </c>
      <c r="F284" s="1" t="s">
        <v>125</v>
      </c>
      <c r="I284" s="2"/>
      <c r="J284" s="1" t="s">
        <v>449</v>
      </c>
      <c r="K284" s="6">
        <f t="shared" si="48"/>
        <v>169.91428571428571</v>
      </c>
      <c r="L284" s="1" t="str">
        <f t="shared" si="60"/>
        <v/>
      </c>
      <c r="M284" s="1">
        <v>1</v>
      </c>
    </row>
    <row r="285" spans="1:13" x14ac:dyDescent="0.45">
      <c r="A285" s="1" t="s">
        <v>415</v>
      </c>
      <c r="B285" s="1" t="s">
        <v>419</v>
      </c>
      <c r="D285" s="2">
        <v>45962</v>
      </c>
      <c r="E285" s="3">
        <f t="shared" si="66"/>
        <v>169.91428571428571</v>
      </c>
      <c r="F285" s="1" t="s">
        <v>125</v>
      </c>
      <c r="I285" s="2"/>
      <c r="J285" s="1" t="s">
        <v>449</v>
      </c>
      <c r="K285" s="6">
        <f t="shared" si="48"/>
        <v>169.91428571428571</v>
      </c>
      <c r="L285" s="1" t="str">
        <f t="shared" si="60"/>
        <v/>
      </c>
      <c r="M285" s="1">
        <v>1</v>
      </c>
    </row>
    <row r="286" spans="1:13" x14ac:dyDescent="0.45">
      <c r="A286" s="1" t="s">
        <v>415</v>
      </c>
      <c r="B286" s="1" t="s">
        <v>474</v>
      </c>
      <c r="D286" s="2">
        <v>45962</v>
      </c>
      <c r="E286" s="3">
        <f t="shared" si="66"/>
        <v>169.91428571428571</v>
      </c>
      <c r="F286" s="1" t="s">
        <v>125</v>
      </c>
      <c r="I286" s="2"/>
      <c r="J286" s="1" t="s">
        <v>449</v>
      </c>
      <c r="K286" s="6">
        <f t="shared" si="48"/>
        <v>169.91428571428571</v>
      </c>
      <c r="L286" s="1" t="str">
        <f t="shared" si="60"/>
        <v/>
      </c>
      <c r="M286" s="1">
        <v>1</v>
      </c>
    </row>
    <row r="287" spans="1:13" x14ac:dyDescent="0.45">
      <c r="A287" s="1" t="s">
        <v>415</v>
      </c>
      <c r="B287" s="1" t="s">
        <v>475</v>
      </c>
      <c r="C287" s="1" t="s">
        <v>501</v>
      </c>
      <c r="D287" s="2">
        <v>45962</v>
      </c>
      <c r="E287" s="3">
        <f t="shared" si="66"/>
        <v>169.91428571428571</v>
      </c>
      <c r="F287" s="1" t="s">
        <v>125</v>
      </c>
      <c r="I287" s="2">
        <v>45963</v>
      </c>
      <c r="J287" s="1" t="s">
        <v>449</v>
      </c>
      <c r="K287" s="6">
        <f t="shared" si="48"/>
        <v>169.91428571428571</v>
      </c>
      <c r="L287" s="1">
        <f t="shared" si="60"/>
        <v>1</v>
      </c>
      <c r="M287" s="1">
        <v>1</v>
      </c>
    </row>
    <row r="288" spans="1:13" x14ac:dyDescent="0.45">
      <c r="A288" s="1" t="s">
        <v>415</v>
      </c>
      <c r="B288" s="1" t="s">
        <v>420</v>
      </c>
      <c r="D288" s="2">
        <v>45962</v>
      </c>
      <c r="E288" s="3">
        <f t="shared" si="66"/>
        <v>169.91428571428571</v>
      </c>
      <c r="F288" s="1" t="s">
        <v>125</v>
      </c>
      <c r="I288" s="2"/>
      <c r="J288" s="1" t="s">
        <v>449</v>
      </c>
      <c r="K288" s="6">
        <f t="shared" si="48"/>
        <v>169.91428571428571</v>
      </c>
      <c r="L288" s="1" t="str">
        <f t="shared" si="60"/>
        <v/>
      </c>
      <c r="M288" s="1">
        <v>1</v>
      </c>
    </row>
    <row r="289" spans="1:13" x14ac:dyDescent="0.45">
      <c r="A289" s="1" t="s">
        <v>415</v>
      </c>
      <c r="B289" s="1" t="s">
        <v>421</v>
      </c>
      <c r="D289" s="2">
        <v>45962</v>
      </c>
      <c r="E289" s="3">
        <f t="shared" si="66"/>
        <v>169.91428571428571</v>
      </c>
      <c r="F289" s="1" t="s">
        <v>125</v>
      </c>
      <c r="I289" s="2"/>
      <c r="J289" s="1" t="s">
        <v>449</v>
      </c>
      <c r="K289" s="6">
        <f t="shared" si="48"/>
        <v>169.91428571428571</v>
      </c>
      <c r="L289" s="1" t="str">
        <f t="shared" si="60"/>
        <v/>
      </c>
      <c r="M289" s="1">
        <v>1</v>
      </c>
    </row>
    <row r="290" spans="1:13" x14ac:dyDescent="0.45">
      <c r="A290" s="1" t="s">
        <v>415</v>
      </c>
      <c r="B290" s="1" t="s">
        <v>422</v>
      </c>
      <c r="D290" s="2">
        <v>45962</v>
      </c>
      <c r="E290" s="3">
        <f t="shared" si="66"/>
        <v>169.91428571428571</v>
      </c>
      <c r="F290" s="1" t="s">
        <v>125</v>
      </c>
      <c r="I290" s="2"/>
      <c r="J290" s="1" t="s">
        <v>449</v>
      </c>
      <c r="K290" s="6">
        <f t="shared" si="48"/>
        <v>169.91428571428571</v>
      </c>
      <c r="L290" s="1" t="str">
        <f t="shared" si="60"/>
        <v/>
      </c>
      <c r="M290" s="1">
        <v>1</v>
      </c>
    </row>
    <row r="291" spans="1:13" x14ac:dyDescent="0.45">
      <c r="A291" s="1" t="s">
        <v>415</v>
      </c>
      <c r="B291" s="1" t="s">
        <v>423</v>
      </c>
      <c r="D291" s="2">
        <v>45962</v>
      </c>
      <c r="E291" s="3">
        <f t="shared" si="66"/>
        <v>169.91428571428571</v>
      </c>
      <c r="F291" s="1" t="s">
        <v>125</v>
      </c>
      <c r="I291" s="2"/>
      <c r="J291" s="1" t="s">
        <v>449</v>
      </c>
      <c r="K291" s="6">
        <f t="shared" si="48"/>
        <v>169.91428571428571</v>
      </c>
      <c r="L291" s="1" t="str">
        <f t="shared" si="60"/>
        <v/>
      </c>
      <c r="M291" s="1">
        <v>1</v>
      </c>
    </row>
    <row r="292" spans="1:13" x14ac:dyDescent="0.45">
      <c r="A292" s="1" t="s">
        <v>415</v>
      </c>
      <c r="B292" s="1" t="s">
        <v>424</v>
      </c>
      <c r="D292" s="2">
        <v>45962</v>
      </c>
      <c r="E292" s="3">
        <f t="shared" si="66"/>
        <v>169.91428571428571</v>
      </c>
      <c r="F292" s="1" t="s">
        <v>125</v>
      </c>
      <c r="I292" s="2"/>
      <c r="J292" s="1" t="s">
        <v>449</v>
      </c>
      <c r="K292" s="6">
        <f t="shared" si="48"/>
        <v>169.91428571428571</v>
      </c>
      <c r="L292" s="1" t="str">
        <f t="shared" si="60"/>
        <v/>
      </c>
      <c r="M292" s="1">
        <v>1</v>
      </c>
    </row>
    <row r="293" spans="1:13" x14ac:dyDescent="0.45">
      <c r="A293" s="1" t="s">
        <v>415</v>
      </c>
      <c r="B293" s="1" t="s">
        <v>425</v>
      </c>
      <c r="D293" s="2">
        <v>45962</v>
      </c>
      <c r="E293" s="3">
        <f t="shared" si="66"/>
        <v>169.91428571428571</v>
      </c>
      <c r="F293" s="1" t="s">
        <v>125</v>
      </c>
      <c r="I293" s="2"/>
      <c r="J293" s="1" t="s">
        <v>449</v>
      </c>
      <c r="K293" s="6">
        <f t="shared" si="48"/>
        <v>169.91428571428571</v>
      </c>
      <c r="L293" s="1" t="str">
        <f t="shared" si="60"/>
        <v/>
      </c>
      <c r="M293" s="1">
        <v>1</v>
      </c>
    </row>
    <row r="294" spans="1:13" x14ac:dyDescent="0.45">
      <c r="A294" s="1" t="s">
        <v>415</v>
      </c>
      <c r="B294" s="1" t="s">
        <v>426</v>
      </c>
      <c r="D294" s="2">
        <v>45962</v>
      </c>
      <c r="E294" s="3">
        <f t="shared" si="66"/>
        <v>169.91428571428571</v>
      </c>
      <c r="F294" s="1" t="s">
        <v>125</v>
      </c>
      <c r="I294" s="2"/>
      <c r="J294" s="1" t="s">
        <v>449</v>
      </c>
      <c r="K294" s="6">
        <f t="shared" si="48"/>
        <v>169.91428571428571</v>
      </c>
      <c r="L294" s="1" t="str">
        <f t="shared" si="60"/>
        <v/>
      </c>
      <c r="M294" s="1">
        <v>1</v>
      </c>
    </row>
    <row r="295" spans="1:13" x14ac:dyDescent="0.45">
      <c r="A295" s="1" t="s">
        <v>415</v>
      </c>
      <c r="B295" s="1" t="s">
        <v>427</v>
      </c>
      <c r="D295" s="2">
        <v>45962</v>
      </c>
      <c r="E295" s="3">
        <f t="shared" si="66"/>
        <v>169.91428571428571</v>
      </c>
      <c r="F295" s="1" t="s">
        <v>125</v>
      </c>
      <c r="I295" s="2"/>
      <c r="J295" s="1" t="s">
        <v>449</v>
      </c>
      <c r="K295" s="6">
        <f t="shared" si="48"/>
        <v>169.91428571428571</v>
      </c>
      <c r="L295" s="1" t="str">
        <f t="shared" si="60"/>
        <v/>
      </c>
      <c r="M295" s="1">
        <v>1</v>
      </c>
    </row>
    <row r="296" spans="1:13" x14ac:dyDescent="0.45">
      <c r="A296" s="1" t="s">
        <v>415</v>
      </c>
      <c r="B296" s="1" t="s">
        <v>428</v>
      </c>
      <c r="D296" s="2">
        <v>45962</v>
      </c>
      <c r="E296" s="3">
        <f t="shared" si="66"/>
        <v>169.91428571428571</v>
      </c>
      <c r="F296" s="1" t="s">
        <v>125</v>
      </c>
      <c r="I296" s="2"/>
      <c r="J296" s="1" t="s">
        <v>449</v>
      </c>
      <c r="K296" s="6">
        <f t="shared" si="48"/>
        <v>169.91428571428571</v>
      </c>
      <c r="L296" s="1" t="str">
        <f t="shared" si="60"/>
        <v/>
      </c>
      <c r="M296" s="1">
        <v>1</v>
      </c>
    </row>
    <row r="297" spans="1:13" x14ac:dyDescent="0.45">
      <c r="A297" s="1" t="s">
        <v>415</v>
      </c>
      <c r="B297" s="1" t="s">
        <v>429</v>
      </c>
      <c r="D297" s="2">
        <v>45962</v>
      </c>
      <c r="E297" s="3">
        <f t="shared" si="66"/>
        <v>169.91428571428571</v>
      </c>
      <c r="F297" s="1" t="s">
        <v>125</v>
      </c>
      <c r="I297" s="2"/>
      <c r="J297" s="1" t="s">
        <v>449</v>
      </c>
      <c r="K297" s="6">
        <f t="shared" si="48"/>
        <v>169.91428571428571</v>
      </c>
      <c r="L297" s="1" t="str">
        <f t="shared" si="60"/>
        <v/>
      </c>
      <c r="M297" s="1">
        <v>1</v>
      </c>
    </row>
    <row r="298" spans="1:13" x14ac:dyDescent="0.45">
      <c r="A298" s="1" t="s">
        <v>415</v>
      </c>
      <c r="B298" s="1" t="s">
        <v>430</v>
      </c>
      <c r="D298" s="2">
        <v>45962</v>
      </c>
      <c r="E298" s="3">
        <f t="shared" si="66"/>
        <v>169.91428571428571</v>
      </c>
      <c r="F298" s="1" t="s">
        <v>125</v>
      </c>
      <c r="I298" s="2"/>
      <c r="J298" s="1" t="s">
        <v>449</v>
      </c>
      <c r="K298" s="6">
        <f t="shared" si="48"/>
        <v>169.91428571428571</v>
      </c>
      <c r="L298" s="1" t="str">
        <f t="shared" si="60"/>
        <v/>
      </c>
      <c r="M298" s="1">
        <v>1</v>
      </c>
    </row>
    <row r="299" spans="1:13" x14ac:dyDescent="0.45">
      <c r="A299" s="1" t="s">
        <v>415</v>
      </c>
      <c r="B299" s="1" t="s">
        <v>431</v>
      </c>
      <c r="D299" s="2">
        <v>45962</v>
      </c>
      <c r="E299" s="3">
        <f t="shared" si="66"/>
        <v>169.91428571428571</v>
      </c>
      <c r="F299" s="1" t="s">
        <v>125</v>
      </c>
      <c r="I299" s="2"/>
      <c r="J299" s="1" t="s">
        <v>449</v>
      </c>
      <c r="K299" s="6">
        <f t="shared" si="48"/>
        <v>169.91428571428571</v>
      </c>
      <c r="L299" s="1" t="str">
        <f t="shared" si="60"/>
        <v/>
      </c>
      <c r="M299" s="1">
        <v>1</v>
      </c>
    </row>
    <row r="300" spans="1:13" x14ac:dyDescent="0.45">
      <c r="A300" s="1" t="s">
        <v>415</v>
      </c>
      <c r="B300" s="1" t="s">
        <v>432</v>
      </c>
      <c r="D300" s="2">
        <v>45962</v>
      </c>
      <c r="E300" s="3">
        <f t="shared" si="66"/>
        <v>169.91428571428571</v>
      </c>
      <c r="F300" s="1" t="s">
        <v>125</v>
      </c>
      <c r="I300" s="2"/>
      <c r="J300" s="1" t="s">
        <v>449</v>
      </c>
      <c r="K300" s="6">
        <f t="shared" si="48"/>
        <v>169.91428571428571</v>
      </c>
      <c r="L300" s="1" t="str">
        <f t="shared" si="60"/>
        <v/>
      </c>
      <c r="M300" s="1">
        <v>1</v>
      </c>
    </row>
    <row r="301" spans="1:13" x14ac:dyDescent="0.45">
      <c r="A301" s="1" t="s">
        <v>415</v>
      </c>
      <c r="B301" s="1" t="s">
        <v>433</v>
      </c>
      <c r="D301" s="2">
        <v>45962</v>
      </c>
      <c r="E301" s="3">
        <f t="shared" si="66"/>
        <v>169.91428571428571</v>
      </c>
      <c r="F301" s="1" t="s">
        <v>125</v>
      </c>
      <c r="I301" s="2"/>
      <c r="J301" s="1" t="s">
        <v>449</v>
      </c>
      <c r="K301" s="6">
        <f t="shared" si="48"/>
        <v>169.91428571428571</v>
      </c>
      <c r="L301" s="1" t="str">
        <f t="shared" si="60"/>
        <v/>
      </c>
      <c r="M301" s="1">
        <v>1</v>
      </c>
    </row>
    <row r="302" spans="1:13" x14ac:dyDescent="0.45">
      <c r="A302" s="1" t="s">
        <v>415</v>
      </c>
      <c r="B302" s="1" t="s">
        <v>434</v>
      </c>
      <c r="D302" s="2">
        <v>45962</v>
      </c>
      <c r="E302" s="3">
        <f t="shared" si="66"/>
        <v>169.91428571428571</v>
      </c>
      <c r="F302" s="1" t="s">
        <v>125</v>
      </c>
      <c r="I302" s="2"/>
      <c r="J302" s="1" t="s">
        <v>449</v>
      </c>
      <c r="K302" s="6">
        <f t="shared" si="48"/>
        <v>169.91428571428571</v>
      </c>
      <c r="L302" s="1" t="str">
        <f t="shared" si="60"/>
        <v/>
      </c>
      <c r="M302" s="1">
        <v>1</v>
      </c>
    </row>
    <row r="303" spans="1:13" x14ac:dyDescent="0.45">
      <c r="A303" s="1" t="s">
        <v>415</v>
      </c>
      <c r="B303" s="1" t="s">
        <v>435</v>
      </c>
      <c r="D303" s="2">
        <v>45962</v>
      </c>
      <c r="E303" s="3">
        <f t="shared" si="66"/>
        <v>169.91428571428571</v>
      </c>
      <c r="F303" s="1" t="s">
        <v>125</v>
      </c>
      <c r="I303" s="2"/>
      <c r="J303" s="1" t="s">
        <v>449</v>
      </c>
      <c r="K303" s="6">
        <f t="shared" si="48"/>
        <v>169.91428571428571</v>
      </c>
      <c r="L303" s="1" t="str">
        <f t="shared" si="60"/>
        <v/>
      </c>
      <c r="M303" s="1">
        <v>1</v>
      </c>
    </row>
    <row r="304" spans="1:13" x14ac:dyDescent="0.45">
      <c r="A304" s="1" t="s">
        <v>415</v>
      </c>
      <c r="B304" s="1" t="s">
        <v>436</v>
      </c>
      <c r="D304" s="2">
        <v>45962</v>
      </c>
      <c r="E304" s="3">
        <f t="shared" si="66"/>
        <v>169.91428571428571</v>
      </c>
      <c r="F304" s="1" t="s">
        <v>125</v>
      </c>
      <c r="I304" s="2"/>
      <c r="J304" s="1" t="s">
        <v>449</v>
      </c>
      <c r="K304" s="6">
        <f t="shared" si="48"/>
        <v>169.91428571428571</v>
      </c>
      <c r="L304" s="1" t="str">
        <f t="shared" si="60"/>
        <v/>
      </c>
      <c r="M304" s="1">
        <v>1</v>
      </c>
    </row>
    <row r="305" spans="1:13" x14ac:dyDescent="0.45">
      <c r="A305" s="1" t="s">
        <v>415</v>
      </c>
      <c r="B305" s="1" t="s">
        <v>437</v>
      </c>
      <c r="D305" s="2">
        <v>45962</v>
      </c>
      <c r="E305" s="3">
        <f t="shared" si="66"/>
        <v>169.91428571428571</v>
      </c>
      <c r="F305" s="1" t="s">
        <v>125</v>
      </c>
      <c r="I305" s="2"/>
      <c r="J305" s="1" t="s">
        <v>449</v>
      </c>
      <c r="K305" s="6">
        <f t="shared" si="48"/>
        <v>169.91428571428571</v>
      </c>
      <c r="L305" s="1" t="str">
        <f t="shared" si="60"/>
        <v/>
      </c>
      <c r="M305" s="1">
        <v>1</v>
      </c>
    </row>
    <row r="306" spans="1:13" x14ac:dyDescent="0.45">
      <c r="A306" s="1" t="s">
        <v>415</v>
      </c>
      <c r="B306" s="1" t="s">
        <v>438</v>
      </c>
      <c r="D306" s="2">
        <v>45962</v>
      </c>
      <c r="E306" s="3">
        <f t="shared" si="66"/>
        <v>169.91428571428571</v>
      </c>
      <c r="F306" s="1" t="s">
        <v>125</v>
      </c>
      <c r="I306" s="2"/>
      <c r="J306" s="1" t="s">
        <v>449</v>
      </c>
      <c r="K306" s="6">
        <f t="shared" si="48"/>
        <v>169.91428571428571</v>
      </c>
      <c r="L306" s="1" t="str">
        <f t="shared" si="60"/>
        <v/>
      </c>
      <c r="M306" s="1">
        <v>1</v>
      </c>
    </row>
    <row r="307" spans="1:13" x14ac:dyDescent="0.45">
      <c r="A307" s="1" t="s">
        <v>415</v>
      </c>
      <c r="B307" s="1" t="s">
        <v>439</v>
      </c>
      <c r="D307" s="2">
        <v>45962</v>
      </c>
      <c r="E307" s="3">
        <f t="shared" si="66"/>
        <v>169.91428571428571</v>
      </c>
      <c r="F307" s="1" t="s">
        <v>125</v>
      </c>
      <c r="I307" s="2"/>
      <c r="J307" s="1" t="s">
        <v>449</v>
      </c>
      <c r="K307" s="6">
        <f t="shared" si="48"/>
        <v>169.91428571428571</v>
      </c>
      <c r="L307" s="1" t="str">
        <f t="shared" si="60"/>
        <v/>
      </c>
      <c r="M307" s="1">
        <v>1</v>
      </c>
    </row>
    <row r="308" spans="1:13" x14ac:dyDescent="0.45">
      <c r="A308" s="1" t="s">
        <v>415</v>
      </c>
      <c r="B308" s="1" t="s">
        <v>440</v>
      </c>
      <c r="D308" s="2">
        <v>45962</v>
      </c>
      <c r="E308" s="3">
        <f t="shared" si="66"/>
        <v>169.91428571428571</v>
      </c>
      <c r="F308" s="1" t="s">
        <v>125</v>
      </c>
      <c r="I308" s="2"/>
      <c r="J308" s="1" t="s">
        <v>449</v>
      </c>
      <c r="K308" s="6">
        <f t="shared" si="48"/>
        <v>169.91428571428571</v>
      </c>
      <c r="L308" s="1" t="str">
        <f t="shared" si="60"/>
        <v/>
      </c>
      <c r="M308" s="1">
        <v>1</v>
      </c>
    </row>
    <row r="309" spans="1:13" x14ac:dyDescent="0.45">
      <c r="A309" s="1" t="s">
        <v>415</v>
      </c>
      <c r="B309" s="1" t="s">
        <v>441</v>
      </c>
      <c r="D309" s="2">
        <v>45962</v>
      </c>
      <c r="E309" s="3">
        <f t="shared" si="66"/>
        <v>169.91428571428571</v>
      </c>
      <c r="F309" s="1" t="s">
        <v>125</v>
      </c>
      <c r="I309" s="2"/>
      <c r="J309" s="1" t="s">
        <v>449</v>
      </c>
      <c r="K309" s="6">
        <f t="shared" si="48"/>
        <v>169.91428571428571</v>
      </c>
      <c r="L309" s="1" t="str">
        <f t="shared" si="60"/>
        <v/>
      </c>
      <c r="M309" s="1">
        <v>1</v>
      </c>
    </row>
    <row r="310" spans="1:13" x14ac:dyDescent="0.45">
      <c r="A310" s="1" t="s">
        <v>415</v>
      </c>
      <c r="B310" s="1" t="s">
        <v>442</v>
      </c>
      <c r="D310" s="2">
        <v>45962</v>
      </c>
      <c r="E310" s="3">
        <f t="shared" si="66"/>
        <v>169.91428571428571</v>
      </c>
      <c r="F310" s="1" t="s">
        <v>125</v>
      </c>
      <c r="I310" s="2"/>
      <c r="J310" s="1" t="s">
        <v>449</v>
      </c>
      <c r="K310" s="6">
        <f t="shared" si="48"/>
        <v>169.91428571428571</v>
      </c>
      <c r="L310" s="1" t="str">
        <f t="shared" si="60"/>
        <v/>
      </c>
      <c r="M310" s="1">
        <v>1</v>
      </c>
    </row>
    <row r="311" spans="1:13" x14ac:dyDescent="0.45">
      <c r="A311" s="1" t="s">
        <v>415</v>
      </c>
      <c r="B311" s="1" t="s">
        <v>443</v>
      </c>
      <c r="D311" s="2">
        <v>45962</v>
      </c>
      <c r="E311" s="3">
        <f t="shared" si="66"/>
        <v>169.91428571428571</v>
      </c>
      <c r="F311" s="1" t="s">
        <v>125</v>
      </c>
      <c r="I311" s="2"/>
      <c r="J311" s="1" t="s">
        <v>449</v>
      </c>
      <c r="K311" s="6">
        <f t="shared" si="48"/>
        <v>169.91428571428571</v>
      </c>
      <c r="L311" s="1" t="str">
        <f t="shared" si="60"/>
        <v/>
      </c>
      <c r="M311" s="1">
        <v>1</v>
      </c>
    </row>
    <row r="312" spans="1:13" x14ac:dyDescent="0.45">
      <c r="A312" s="1" t="s">
        <v>415</v>
      </c>
      <c r="B312" s="1" t="s">
        <v>444</v>
      </c>
      <c r="D312" s="2">
        <v>45962</v>
      </c>
      <c r="E312" s="3">
        <f t="shared" si="66"/>
        <v>169.91428571428571</v>
      </c>
      <c r="F312" s="1" t="s">
        <v>125</v>
      </c>
      <c r="I312" s="2"/>
      <c r="J312" s="1" t="s">
        <v>449</v>
      </c>
      <c r="K312" s="6">
        <f t="shared" si="48"/>
        <v>169.91428571428571</v>
      </c>
      <c r="L312" s="1" t="str">
        <f t="shared" si="60"/>
        <v/>
      </c>
      <c r="M312" s="1">
        <v>1</v>
      </c>
    </row>
    <row r="313" spans="1:13" x14ac:dyDescent="0.45">
      <c r="A313" s="1" t="s">
        <v>415</v>
      </c>
      <c r="B313" s="1" t="s">
        <v>445</v>
      </c>
      <c r="D313" s="2">
        <v>45962</v>
      </c>
      <c r="E313" s="3">
        <f t="shared" si="66"/>
        <v>169.91428571428571</v>
      </c>
      <c r="F313" s="1" t="s">
        <v>125</v>
      </c>
      <c r="I313" s="2"/>
      <c r="J313" s="1" t="s">
        <v>449</v>
      </c>
      <c r="K313" s="6">
        <f t="shared" si="48"/>
        <v>169.91428571428571</v>
      </c>
      <c r="L313" s="1" t="str">
        <f t="shared" si="60"/>
        <v/>
      </c>
      <c r="M313" s="1">
        <v>1</v>
      </c>
    </row>
    <row r="314" spans="1:13" x14ac:dyDescent="0.45">
      <c r="A314" s="1" t="s">
        <v>415</v>
      </c>
      <c r="B314" s="1" t="s">
        <v>446</v>
      </c>
      <c r="D314" s="2">
        <v>45962</v>
      </c>
      <c r="E314" s="3">
        <f t="shared" si="66"/>
        <v>169.91428571428571</v>
      </c>
      <c r="F314" s="1" t="s">
        <v>125</v>
      </c>
      <c r="I314" s="2"/>
      <c r="J314" s="1" t="s">
        <v>449</v>
      </c>
      <c r="K314" s="6">
        <f t="shared" si="48"/>
        <v>169.91428571428571</v>
      </c>
      <c r="L314" s="1" t="str">
        <f t="shared" si="60"/>
        <v/>
      </c>
      <c r="M314" s="1">
        <v>1</v>
      </c>
    </row>
    <row r="315" spans="1:13" x14ac:dyDescent="0.45">
      <c r="A315" s="1" t="s">
        <v>415</v>
      </c>
      <c r="B315" s="1" t="s">
        <v>447</v>
      </c>
      <c r="D315" s="2">
        <v>45962</v>
      </c>
      <c r="E315" s="3">
        <f t="shared" si="66"/>
        <v>169.91428571428571</v>
      </c>
      <c r="F315" s="1" t="s">
        <v>125</v>
      </c>
      <c r="I315" s="2"/>
      <c r="J315" s="1" t="s">
        <v>449</v>
      </c>
      <c r="K315" s="6">
        <f t="shared" si="48"/>
        <v>169.91428571428571</v>
      </c>
      <c r="L315" s="1" t="str">
        <f t="shared" si="60"/>
        <v/>
      </c>
      <c r="M315" s="1">
        <v>1</v>
      </c>
    </row>
    <row r="316" spans="1:13" x14ac:dyDescent="0.45">
      <c r="A316" s="1" t="s">
        <v>415</v>
      </c>
      <c r="B316" s="1" t="s">
        <v>448</v>
      </c>
      <c r="D316" s="2">
        <v>45962</v>
      </c>
      <c r="E316" s="3">
        <f t="shared" si="66"/>
        <v>169.91428571428571</v>
      </c>
      <c r="F316" s="1" t="s">
        <v>125</v>
      </c>
      <c r="I316" s="2"/>
      <c r="J316" s="1" t="s">
        <v>449</v>
      </c>
      <c r="K316" s="6">
        <f t="shared" si="48"/>
        <v>169.91428571428571</v>
      </c>
      <c r="L316" s="1" t="str">
        <f t="shared" si="60"/>
        <v/>
      </c>
      <c r="M316" s="1">
        <v>1</v>
      </c>
    </row>
    <row r="317" spans="1:13" x14ac:dyDescent="0.45">
      <c r="A317" s="1" t="s">
        <v>415</v>
      </c>
      <c r="B317" s="1" t="s">
        <v>516</v>
      </c>
      <c r="C317" s="1" t="s">
        <v>510</v>
      </c>
      <c r="D317" s="2">
        <v>45962</v>
      </c>
      <c r="E317" s="3">
        <f>1652/10</f>
        <v>165.2</v>
      </c>
      <c r="F317" s="1" t="s">
        <v>125</v>
      </c>
      <c r="I317" s="2">
        <v>45981</v>
      </c>
      <c r="J317" s="1" t="s">
        <v>449</v>
      </c>
      <c r="K317" s="6">
        <f t="shared" ref="K317:K336" si="67">E317+G317</f>
        <v>165.2</v>
      </c>
      <c r="L317" s="1">
        <f t="shared" si="60"/>
        <v>1</v>
      </c>
      <c r="M317" s="1">
        <v>1</v>
      </c>
    </row>
    <row r="318" spans="1:13" x14ac:dyDescent="0.45">
      <c r="A318" s="1" t="s">
        <v>415</v>
      </c>
      <c r="B318" s="1" t="s">
        <v>515</v>
      </c>
      <c r="C318" s="1" t="s">
        <v>512</v>
      </c>
      <c r="D318" s="2">
        <v>45962</v>
      </c>
      <c r="E318" s="3">
        <f t="shared" ref="E318:E336" si="68">1652/10</f>
        <v>165.2</v>
      </c>
      <c r="F318" s="1" t="s">
        <v>125</v>
      </c>
      <c r="I318" s="2">
        <v>45983</v>
      </c>
      <c r="J318" s="1" t="s">
        <v>449</v>
      </c>
      <c r="K318" s="6">
        <f t="shared" si="67"/>
        <v>165.2</v>
      </c>
      <c r="L318" s="1">
        <f t="shared" si="60"/>
        <v>1</v>
      </c>
      <c r="M318" s="1">
        <v>1</v>
      </c>
    </row>
    <row r="319" spans="1:13" x14ac:dyDescent="0.45">
      <c r="A319" s="1" t="s">
        <v>415</v>
      </c>
      <c r="B319" s="1" t="s">
        <v>514</v>
      </c>
      <c r="C319" s="1" t="s">
        <v>513</v>
      </c>
      <c r="D319" s="2">
        <v>45962</v>
      </c>
      <c r="E319" s="3">
        <f t="shared" si="68"/>
        <v>165.2</v>
      </c>
      <c r="F319" s="1" t="s">
        <v>125</v>
      </c>
      <c r="I319" s="2">
        <v>45984</v>
      </c>
      <c r="J319" s="1" t="s">
        <v>449</v>
      </c>
      <c r="K319" s="6">
        <f t="shared" si="67"/>
        <v>165.2</v>
      </c>
      <c r="L319" s="1">
        <f t="shared" si="60"/>
        <v>1</v>
      </c>
      <c r="M319" s="1">
        <v>1</v>
      </c>
    </row>
    <row r="320" spans="1:13" x14ac:dyDescent="0.45">
      <c r="A320" s="1" t="s">
        <v>415</v>
      </c>
      <c r="B320" s="1" t="s">
        <v>517</v>
      </c>
      <c r="C320" s="1" t="s">
        <v>118</v>
      </c>
      <c r="D320" s="2">
        <v>45962</v>
      </c>
      <c r="E320" s="3">
        <f t="shared" si="68"/>
        <v>165.2</v>
      </c>
      <c r="F320" s="1" t="s">
        <v>125</v>
      </c>
      <c r="I320" s="2">
        <v>45986</v>
      </c>
      <c r="J320" s="1" t="s">
        <v>449</v>
      </c>
      <c r="K320" s="6">
        <f t="shared" si="67"/>
        <v>165.2</v>
      </c>
      <c r="L320" s="1">
        <f t="shared" si="60"/>
        <v>1</v>
      </c>
      <c r="M320" s="1">
        <v>1</v>
      </c>
    </row>
    <row r="321" spans="1:13" x14ac:dyDescent="0.45">
      <c r="A321" s="1" t="s">
        <v>415</v>
      </c>
      <c r="B321" s="1" t="s">
        <v>522</v>
      </c>
      <c r="C321" s="1" t="s">
        <v>523</v>
      </c>
      <c r="D321" s="2">
        <v>45962</v>
      </c>
      <c r="E321" s="3">
        <f t="shared" si="68"/>
        <v>165.2</v>
      </c>
      <c r="F321" s="1" t="s">
        <v>125</v>
      </c>
      <c r="I321" s="2">
        <v>45987</v>
      </c>
      <c r="J321" s="1" t="s">
        <v>449</v>
      </c>
      <c r="K321" s="6">
        <f t="shared" si="67"/>
        <v>165.2</v>
      </c>
      <c r="L321" s="1">
        <f t="shared" si="60"/>
        <v>1</v>
      </c>
      <c r="M321" s="1">
        <v>1</v>
      </c>
    </row>
    <row r="322" spans="1:13" x14ac:dyDescent="0.45">
      <c r="A322" s="1" t="s">
        <v>415</v>
      </c>
      <c r="B322" s="1" t="s">
        <v>526</v>
      </c>
      <c r="C322" s="1" t="s">
        <v>527</v>
      </c>
      <c r="D322" s="2">
        <v>45962</v>
      </c>
      <c r="E322" s="3">
        <f t="shared" si="68"/>
        <v>165.2</v>
      </c>
      <c r="F322" s="1" t="s">
        <v>125</v>
      </c>
      <c r="I322" s="2">
        <v>45989</v>
      </c>
      <c r="J322" s="1" t="s">
        <v>449</v>
      </c>
      <c r="K322" s="6">
        <f t="shared" si="67"/>
        <v>165.2</v>
      </c>
      <c r="L322" s="1">
        <f t="shared" si="60"/>
        <v>1</v>
      </c>
      <c r="M322" s="1">
        <v>1</v>
      </c>
    </row>
    <row r="323" spans="1:13" x14ac:dyDescent="0.45">
      <c r="A323" s="1" t="s">
        <v>415</v>
      </c>
      <c r="B323" s="1" t="s">
        <v>528</v>
      </c>
      <c r="C323" s="1" t="s">
        <v>529</v>
      </c>
      <c r="D323" s="2">
        <v>45962</v>
      </c>
      <c r="E323" s="3">
        <f t="shared" si="68"/>
        <v>165.2</v>
      </c>
      <c r="F323" s="1" t="s">
        <v>125</v>
      </c>
      <c r="I323" s="2">
        <v>45990</v>
      </c>
      <c r="J323" s="1" t="s">
        <v>449</v>
      </c>
      <c r="K323" s="6">
        <f t="shared" si="67"/>
        <v>165.2</v>
      </c>
      <c r="L323" s="1">
        <f t="shared" si="60"/>
        <v>1</v>
      </c>
      <c r="M323" s="1">
        <v>1</v>
      </c>
    </row>
    <row r="324" spans="1:13" x14ac:dyDescent="0.45">
      <c r="A324" s="1" t="s">
        <v>415</v>
      </c>
      <c r="B324" s="1" t="s">
        <v>665</v>
      </c>
      <c r="C324" s="1" t="s">
        <v>118</v>
      </c>
      <c r="D324" s="2">
        <v>45962</v>
      </c>
      <c r="E324" s="3">
        <f t="shared" si="68"/>
        <v>165.2</v>
      </c>
      <c r="F324" s="1" t="s">
        <v>125</v>
      </c>
      <c r="I324" s="2">
        <v>46116</v>
      </c>
      <c r="J324" s="1" t="s">
        <v>449</v>
      </c>
      <c r="K324" s="6">
        <f t="shared" si="67"/>
        <v>165.2</v>
      </c>
      <c r="L324" s="1">
        <f t="shared" si="60"/>
        <v>1</v>
      </c>
      <c r="M324" s="1">
        <v>1</v>
      </c>
    </row>
    <row r="325" spans="1:13" x14ac:dyDescent="0.45">
      <c r="A325" s="1" t="s">
        <v>415</v>
      </c>
      <c r="B325" s="1" t="s">
        <v>451</v>
      </c>
      <c r="D325" s="2">
        <v>45962</v>
      </c>
      <c r="E325" s="3">
        <f t="shared" si="68"/>
        <v>165.2</v>
      </c>
      <c r="F325" s="1" t="s">
        <v>125</v>
      </c>
      <c r="I325" s="2"/>
      <c r="J325" s="1" t="s">
        <v>449</v>
      </c>
      <c r="K325" s="6">
        <f t="shared" si="67"/>
        <v>165.2</v>
      </c>
      <c r="L325" s="1" t="str">
        <f t="shared" si="60"/>
        <v/>
      </c>
      <c r="M325" s="1">
        <v>1</v>
      </c>
    </row>
    <row r="326" spans="1:13" x14ac:dyDescent="0.45">
      <c r="A326" s="1" t="s">
        <v>415</v>
      </c>
      <c r="B326" s="1" t="s">
        <v>452</v>
      </c>
      <c r="D326" s="2">
        <v>45962</v>
      </c>
      <c r="E326" s="3">
        <f t="shared" si="68"/>
        <v>165.2</v>
      </c>
      <c r="F326" s="1" t="s">
        <v>125</v>
      </c>
      <c r="I326" s="2"/>
      <c r="J326" s="1" t="s">
        <v>449</v>
      </c>
      <c r="K326" s="6">
        <f t="shared" si="67"/>
        <v>165.2</v>
      </c>
      <c r="L326" s="1" t="str">
        <f t="shared" si="60"/>
        <v/>
      </c>
      <c r="M326" s="1">
        <v>1</v>
      </c>
    </row>
    <row r="327" spans="1:13" x14ac:dyDescent="0.45">
      <c r="A327" s="1" t="s">
        <v>415</v>
      </c>
      <c r="B327" s="1" t="s">
        <v>453</v>
      </c>
      <c r="D327" s="2">
        <v>45962</v>
      </c>
      <c r="E327" s="3">
        <f>1652/10</f>
        <v>165.2</v>
      </c>
      <c r="F327" s="1" t="s">
        <v>125</v>
      </c>
      <c r="I327" s="2"/>
      <c r="J327" s="1" t="s">
        <v>449</v>
      </c>
      <c r="K327" s="6">
        <f t="shared" si="67"/>
        <v>165.2</v>
      </c>
      <c r="L327" s="1" t="str">
        <f t="shared" si="60"/>
        <v/>
      </c>
      <c r="M327" s="1">
        <v>1</v>
      </c>
    </row>
    <row r="328" spans="1:13" x14ac:dyDescent="0.45">
      <c r="A328" s="1" t="s">
        <v>415</v>
      </c>
      <c r="B328" s="1" t="s">
        <v>454</v>
      </c>
      <c r="D328" s="2">
        <v>45962</v>
      </c>
      <c r="E328" s="3">
        <f t="shared" si="68"/>
        <v>165.2</v>
      </c>
      <c r="F328" s="1" t="s">
        <v>125</v>
      </c>
      <c r="I328" s="2"/>
      <c r="J328" s="1" t="s">
        <v>449</v>
      </c>
      <c r="K328" s="6">
        <f t="shared" si="67"/>
        <v>165.2</v>
      </c>
      <c r="L328" s="1" t="str">
        <f t="shared" si="60"/>
        <v/>
      </c>
      <c r="M328" s="1">
        <v>1</v>
      </c>
    </row>
    <row r="329" spans="1:13" x14ac:dyDescent="0.45">
      <c r="A329" s="1" t="s">
        <v>415</v>
      </c>
      <c r="B329" s="1" t="s">
        <v>455</v>
      </c>
      <c r="D329" s="2">
        <v>45962</v>
      </c>
      <c r="E329" s="3">
        <f t="shared" si="68"/>
        <v>165.2</v>
      </c>
      <c r="F329" s="1" t="s">
        <v>125</v>
      </c>
      <c r="I329" s="2"/>
      <c r="J329" s="1" t="s">
        <v>449</v>
      </c>
      <c r="K329" s="6">
        <f t="shared" si="67"/>
        <v>165.2</v>
      </c>
      <c r="L329" s="1" t="str">
        <f t="shared" si="60"/>
        <v/>
      </c>
      <c r="M329" s="1">
        <v>1</v>
      </c>
    </row>
    <row r="330" spans="1:13" x14ac:dyDescent="0.45">
      <c r="A330" s="1" t="s">
        <v>415</v>
      </c>
      <c r="B330" s="1" t="s">
        <v>456</v>
      </c>
      <c r="D330" s="2">
        <v>45962</v>
      </c>
      <c r="E330" s="3">
        <f t="shared" si="68"/>
        <v>165.2</v>
      </c>
      <c r="F330" s="1" t="s">
        <v>125</v>
      </c>
      <c r="I330" s="2"/>
      <c r="J330" s="1" t="s">
        <v>449</v>
      </c>
      <c r="K330" s="6">
        <f t="shared" si="67"/>
        <v>165.2</v>
      </c>
      <c r="L330" s="1" t="str">
        <f t="shared" ref="L330:L408" si="69">IF(C330="V",1,IF(C330="X",0,""))</f>
        <v/>
      </c>
      <c r="M330" s="1">
        <v>1</v>
      </c>
    </row>
    <row r="331" spans="1:13" x14ac:dyDescent="0.45">
      <c r="A331" s="1" t="s">
        <v>415</v>
      </c>
      <c r="B331" s="1" t="s">
        <v>457</v>
      </c>
      <c r="D331" s="2">
        <v>45962</v>
      </c>
      <c r="E331" s="3">
        <f t="shared" si="68"/>
        <v>165.2</v>
      </c>
      <c r="F331" s="1" t="s">
        <v>125</v>
      </c>
      <c r="I331" s="2"/>
      <c r="J331" s="1" t="s">
        <v>449</v>
      </c>
      <c r="K331" s="6">
        <f t="shared" si="67"/>
        <v>165.2</v>
      </c>
      <c r="L331" s="1" t="str">
        <f t="shared" si="69"/>
        <v/>
      </c>
      <c r="M331" s="1">
        <v>1</v>
      </c>
    </row>
    <row r="332" spans="1:13" x14ac:dyDescent="0.45">
      <c r="A332" s="1" t="s">
        <v>415</v>
      </c>
      <c r="B332" s="1" t="s">
        <v>458</v>
      </c>
      <c r="D332" s="2">
        <v>45962</v>
      </c>
      <c r="E332" s="3">
        <f t="shared" si="68"/>
        <v>165.2</v>
      </c>
      <c r="F332" s="1" t="s">
        <v>125</v>
      </c>
      <c r="I332" s="2"/>
      <c r="J332" s="1" t="s">
        <v>449</v>
      </c>
      <c r="K332" s="6">
        <f t="shared" si="67"/>
        <v>165.2</v>
      </c>
      <c r="L332" s="1" t="str">
        <f t="shared" si="69"/>
        <v/>
      </c>
      <c r="M332" s="1">
        <v>1</v>
      </c>
    </row>
    <row r="333" spans="1:13" x14ac:dyDescent="0.45">
      <c r="A333" s="1" t="s">
        <v>415</v>
      </c>
      <c r="B333" s="1" t="s">
        <v>459</v>
      </c>
      <c r="D333" s="2">
        <v>45962</v>
      </c>
      <c r="E333" s="3">
        <f t="shared" si="68"/>
        <v>165.2</v>
      </c>
      <c r="F333" s="1" t="s">
        <v>125</v>
      </c>
      <c r="I333" s="2"/>
      <c r="J333" s="1" t="s">
        <v>449</v>
      </c>
      <c r="K333" s="6">
        <f t="shared" si="67"/>
        <v>165.2</v>
      </c>
      <c r="L333" s="1" t="str">
        <f t="shared" si="69"/>
        <v/>
      </c>
      <c r="M333" s="1">
        <v>1</v>
      </c>
    </row>
    <row r="334" spans="1:13" x14ac:dyDescent="0.45">
      <c r="A334" s="1" t="s">
        <v>415</v>
      </c>
      <c r="B334" s="1" t="s">
        <v>460</v>
      </c>
      <c r="D334" s="2">
        <v>45962</v>
      </c>
      <c r="E334" s="3">
        <f t="shared" si="68"/>
        <v>165.2</v>
      </c>
      <c r="F334" s="1" t="s">
        <v>125</v>
      </c>
      <c r="I334" s="2"/>
      <c r="J334" s="1" t="s">
        <v>449</v>
      </c>
      <c r="K334" s="6">
        <f t="shared" si="67"/>
        <v>165.2</v>
      </c>
      <c r="L334" s="1" t="str">
        <f t="shared" si="69"/>
        <v/>
      </c>
      <c r="M334" s="1">
        <v>1</v>
      </c>
    </row>
    <row r="335" spans="1:13" x14ac:dyDescent="0.45">
      <c r="A335" s="1" t="s">
        <v>415</v>
      </c>
      <c r="B335" s="1" t="s">
        <v>461</v>
      </c>
      <c r="D335" s="2">
        <v>45962</v>
      </c>
      <c r="E335" s="3">
        <f t="shared" si="68"/>
        <v>165.2</v>
      </c>
      <c r="F335" s="1" t="s">
        <v>125</v>
      </c>
      <c r="I335" s="2"/>
      <c r="J335" s="1" t="s">
        <v>449</v>
      </c>
      <c r="K335" s="6">
        <f t="shared" si="67"/>
        <v>165.2</v>
      </c>
      <c r="L335" s="1" t="str">
        <f t="shared" si="69"/>
        <v/>
      </c>
      <c r="M335" s="1">
        <v>1</v>
      </c>
    </row>
    <row r="336" spans="1:13" x14ac:dyDescent="0.45">
      <c r="A336" s="1" t="s">
        <v>415</v>
      </c>
      <c r="B336" s="1" t="s">
        <v>462</v>
      </c>
      <c r="D336" s="2">
        <v>45962</v>
      </c>
      <c r="E336" s="3">
        <f t="shared" si="68"/>
        <v>165.2</v>
      </c>
      <c r="F336" s="1" t="s">
        <v>125</v>
      </c>
      <c r="I336" s="2"/>
      <c r="J336" s="1" t="s">
        <v>449</v>
      </c>
      <c r="K336" s="6">
        <f t="shared" si="67"/>
        <v>165.2</v>
      </c>
      <c r="L336" s="1" t="str">
        <f t="shared" si="69"/>
        <v/>
      </c>
      <c r="M336" s="1">
        <v>1</v>
      </c>
    </row>
    <row r="337" spans="1:13" x14ac:dyDescent="0.45">
      <c r="A337" s="1" t="s">
        <v>415</v>
      </c>
      <c r="B337" s="1" t="s">
        <v>463</v>
      </c>
      <c r="D337" s="2">
        <v>45962</v>
      </c>
      <c r="E337" s="3">
        <f>1888/10</f>
        <v>188.8</v>
      </c>
      <c r="F337" s="1" t="s">
        <v>125</v>
      </c>
      <c r="I337" s="2"/>
      <c r="J337" s="1" t="s">
        <v>449</v>
      </c>
      <c r="K337" s="6">
        <f t="shared" ref="K337:K346" si="70">E337+G337</f>
        <v>188.8</v>
      </c>
      <c r="L337" s="1" t="str">
        <f t="shared" si="69"/>
        <v/>
      </c>
      <c r="M337" s="1">
        <v>1</v>
      </c>
    </row>
    <row r="338" spans="1:13" x14ac:dyDescent="0.45">
      <c r="A338" s="1" t="s">
        <v>415</v>
      </c>
      <c r="B338" s="1" t="s">
        <v>464</v>
      </c>
      <c r="D338" s="2">
        <v>45962</v>
      </c>
      <c r="E338" s="3">
        <f t="shared" ref="E338:E346" si="71">1888/10</f>
        <v>188.8</v>
      </c>
      <c r="F338" s="1" t="s">
        <v>125</v>
      </c>
      <c r="I338" s="2"/>
      <c r="J338" s="1" t="s">
        <v>449</v>
      </c>
      <c r="K338" s="6">
        <f t="shared" si="70"/>
        <v>188.8</v>
      </c>
      <c r="L338" s="1" t="str">
        <f t="shared" si="69"/>
        <v/>
      </c>
      <c r="M338" s="1">
        <v>1</v>
      </c>
    </row>
    <row r="339" spans="1:13" x14ac:dyDescent="0.45">
      <c r="A339" s="1" t="s">
        <v>415</v>
      </c>
      <c r="B339" s="1" t="s">
        <v>465</v>
      </c>
      <c r="D339" s="2">
        <v>45962</v>
      </c>
      <c r="E339" s="3">
        <f t="shared" si="71"/>
        <v>188.8</v>
      </c>
      <c r="F339" s="1" t="s">
        <v>125</v>
      </c>
      <c r="I339" s="2"/>
      <c r="J339" s="1" t="s">
        <v>449</v>
      </c>
      <c r="K339" s="6">
        <f t="shared" si="70"/>
        <v>188.8</v>
      </c>
      <c r="L339" s="1" t="str">
        <f t="shared" si="69"/>
        <v/>
      </c>
      <c r="M339" s="1">
        <v>1</v>
      </c>
    </row>
    <row r="340" spans="1:13" x14ac:dyDescent="0.45">
      <c r="A340" s="1" t="s">
        <v>415</v>
      </c>
      <c r="B340" s="1" t="s">
        <v>466</v>
      </c>
      <c r="D340" s="2">
        <v>45962</v>
      </c>
      <c r="E340" s="3">
        <f t="shared" si="71"/>
        <v>188.8</v>
      </c>
      <c r="F340" s="1" t="s">
        <v>125</v>
      </c>
      <c r="I340" s="2"/>
      <c r="J340" s="1" t="s">
        <v>449</v>
      </c>
      <c r="K340" s="6">
        <f t="shared" si="70"/>
        <v>188.8</v>
      </c>
      <c r="L340" s="1" t="str">
        <f t="shared" si="69"/>
        <v/>
      </c>
      <c r="M340" s="1">
        <v>1</v>
      </c>
    </row>
    <row r="341" spans="1:13" x14ac:dyDescent="0.45">
      <c r="A341" s="1" t="s">
        <v>415</v>
      </c>
      <c r="B341" s="1" t="s">
        <v>467</v>
      </c>
      <c r="D341" s="2">
        <v>45962</v>
      </c>
      <c r="E341" s="3">
        <f t="shared" si="71"/>
        <v>188.8</v>
      </c>
      <c r="F341" s="1" t="s">
        <v>125</v>
      </c>
      <c r="I341" s="2"/>
      <c r="J341" s="1" t="s">
        <v>449</v>
      </c>
      <c r="K341" s="6">
        <f t="shared" si="70"/>
        <v>188.8</v>
      </c>
      <c r="L341" s="1" t="str">
        <f t="shared" si="69"/>
        <v/>
      </c>
      <c r="M341" s="1">
        <v>1</v>
      </c>
    </row>
    <row r="342" spans="1:13" x14ac:dyDescent="0.45">
      <c r="A342" s="1" t="s">
        <v>415</v>
      </c>
      <c r="B342" s="1" t="s">
        <v>468</v>
      </c>
      <c r="D342" s="2">
        <v>45962</v>
      </c>
      <c r="E342" s="3">
        <f t="shared" si="71"/>
        <v>188.8</v>
      </c>
      <c r="F342" s="1" t="s">
        <v>125</v>
      </c>
      <c r="I342" s="2"/>
      <c r="J342" s="1" t="s">
        <v>449</v>
      </c>
      <c r="K342" s="6">
        <f t="shared" si="70"/>
        <v>188.8</v>
      </c>
      <c r="L342" s="1" t="str">
        <f t="shared" si="69"/>
        <v/>
      </c>
      <c r="M342" s="1">
        <v>1</v>
      </c>
    </row>
    <row r="343" spans="1:13" x14ac:dyDescent="0.45">
      <c r="A343" s="1" t="s">
        <v>415</v>
      </c>
      <c r="B343" s="1" t="s">
        <v>469</v>
      </c>
      <c r="D343" s="2">
        <v>45962</v>
      </c>
      <c r="E343" s="3">
        <f t="shared" si="71"/>
        <v>188.8</v>
      </c>
      <c r="F343" s="1" t="s">
        <v>125</v>
      </c>
      <c r="I343" s="2"/>
      <c r="J343" s="1" t="s">
        <v>449</v>
      </c>
      <c r="K343" s="6">
        <f t="shared" si="70"/>
        <v>188.8</v>
      </c>
      <c r="L343" s="1" t="str">
        <f t="shared" si="69"/>
        <v/>
      </c>
      <c r="M343" s="1">
        <v>1</v>
      </c>
    </row>
    <row r="344" spans="1:13" x14ac:dyDescent="0.45">
      <c r="A344" s="1" t="s">
        <v>415</v>
      </c>
      <c r="B344" s="1" t="s">
        <v>470</v>
      </c>
      <c r="D344" s="2">
        <v>45962</v>
      </c>
      <c r="E344" s="3">
        <f t="shared" si="71"/>
        <v>188.8</v>
      </c>
      <c r="F344" s="1" t="s">
        <v>125</v>
      </c>
      <c r="I344" s="2"/>
      <c r="J344" s="1" t="s">
        <v>449</v>
      </c>
      <c r="K344" s="6">
        <f t="shared" si="70"/>
        <v>188.8</v>
      </c>
      <c r="L344" s="1" t="str">
        <f t="shared" si="69"/>
        <v/>
      </c>
      <c r="M344" s="1">
        <v>1</v>
      </c>
    </row>
    <row r="345" spans="1:13" x14ac:dyDescent="0.45">
      <c r="A345" s="1" t="s">
        <v>415</v>
      </c>
      <c r="B345" s="1" t="s">
        <v>471</v>
      </c>
      <c r="D345" s="2">
        <v>45962</v>
      </c>
      <c r="E345" s="3">
        <f t="shared" si="71"/>
        <v>188.8</v>
      </c>
      <c r="F345" s="1" t="s">
        <v>125</v>
      </c>
      <c r="I345" s="2"/>
      <c r="J345" s="1" t="s">
        <v>449</v>
      </c>
      <c r="K345" s="6">
        <f t="shared" si="70"/>
        <v>188.8</v>
      </c>
      <c r="L345" s="1" t="str">
        <f t="shared" si="69"/>
        <v/>
      </c>
      <c r="M345" s="1">
        <v>1</v>
      </c>
    </row>
    <row r="346" spans="1:13" x14ac:dyDescent="0.45">
      <c r="A346" s="1" t="s">
        <v>415</v>
      </c>
      <c r="B346" s="1" t="s">
        <v>472</v>
      </c>
      <c r="D346" s="2">
        <v>45962</v>
      </c>
      <c r="E346" s="3">
        <f t="shared" si="71"/>
        <v>188.8</v>
      </c>
      <c r="F346" s="1" t="s">
        <v>125</v>
      </c>
      <c r="I346" s="2"/>
      <c r="J346" s="1" t="s">
        <v>449</v>
      </c>
      <c r="K346" s="6">
        <f t="shared" si="70"/>
        <v>188.8</v>
      </c>
      <c r="L346" s="1" t="str">
        <f t="shared" si="69"/>
        <v/>
      </c>
      <c r="M346" s="1">
        <v>1</v>
      </c>
    </row>
    <row r="347" spans="1:13" x14ac:dyDescent="0.45">
      <c r="A347" s="1" t="s">
        <v>211</v>
      </c>
      <c r="B347" s="1" t="s">
        <v>626</v>
      </c>
      <c r="C347" s="1" t="s">
        <v>652</v>
      </c>
      <c r="D347" s="2">
        <v>45818</v>
      </c>
      <c r="E347" s="1">
        <f>1485/5</f>
        <v>297</v>
      </c>
      <c r="F347" s="1" t="s">
        <v>125</v>
      </c>
      <c r="I347" s="2">
        <v>46095</v>
      </c>
      <c r="K347" s="6">
        <f t="shared" si="48"/>
        <v>297</v>
      </c>
      <c r="L347" s="1">
        <f t="shared" si="69"/>
        <v>1</v>
      </c>
      <c r="M347" s="1">
        <v>1</v>
      </c>
    </row>
    <row r="348" spans="1:13" x14ac:dyDescent="0.45">
      <c r="A348" s="1" t="s">
        <v>211</v>
      </c>
      <c r="B348" s="1" t="s">
        <v>627</v>
      </c>
      <c r="D348" s="2">
        <v>45818</v>
      </c>
      <c r="E348" s="1">
        <f t="shared" ref="E348:E351" si="72">1485/5</f>
        <v>297</v>
      </c>
      <c r="F348" s="1" t="s">
        <v>125</v>
      </c>
      <c r="K348" s="6">
        <f t="shared" si="48"/>
        <v>297</v>
      </c>
      <c r="L348" s="1" t="str">
        <f t="shared" si="69"/>
        <v/>
      </c>
      <c r="M348" s="1">
        <v>1</v>
      </c>
    </row>
    <row r="349" spans="1:13" x14ac:dyDescent="0.45">
      <c r="A349" s="1" t="s">
        <v>211</v>
      </c>
      <c r="B349" s="1" t="s">
        <v>628</v>
      </c>
      <c r="D349" s="2">
        <v>45818</v>
      </c>
      <c r="E349" s="1">
        <f t="shared" si="72"/>
        <v>297</v>
      </c>
      <c r="F349" s="1" t="s">
        <v>125</v>
      </c>
      <c r="K349" s="6">
        <f t="shared" si="48"/>
        <v>297</v>
      </c>
      <c r="L349" s="1" t="str">
        <f t="shared" si="69"/>
        <v/>
      </c>
      <c r="M349" s="1">
        <v>1</v>
      </c>
    </row>
    <row r="350" spans="1:13" x14ac:dyDescent="0.45">
      <c r="A350" s="1" t="s">
        <v>211</v>
      </c>
      <c r="B350" s="1" t="s">
        <v>629</v>
      </c>
      <c r="D350" s="2">
        <v>45818</v>
      </c>
      <c r="E350" s="1">
        <f t="shared" si="72"/>
        <v>297</v>
      </c>
      <c r="F350" s="1" t="s">
        <v>125</v>
      </c>
      <c r="K350" s="6">
        <f t="shared" si="48"/>
        <v>297</v>
      </c>
      <c r="L350" s="1" t="str">
        <f t="shared" si="69"/>
        <v/>
      </c>
      <c r="M350" s="1">
        <v>1</v>
      </c>
    </row>
    <row r="351" spans="1:13" x14ac:dyDescent="0.45">
      <c r="A351" s="1" t="s">
        <v>211</v>
      </c>
      <c r="B351" s="1" t="s">
        <v>630</v>
      </c>
      <c r="D351" s="2">
        <v>45818</v>
      </c>
      <c r="E351" s="1">
        <f t="shared" si="72"/>
        <v>297</v>
      </c>
      <c r="F351" s="1" t="s">
        <v>125</v>
      </c>
      <c r="K351" s="6">
        <f t="shared" si="48"/>
        <v>297</v>
      </c>
      <c r="L351" s="1" t="str">
        <f t="shared" si="69"/>
        <v/>
      </c>
      <c r="M351" s="1">
        <v>1</v>
      </c>
    </row>
    <row r="352" spans="1:13" x14ac:dyDescent="0.45">
      <c r="A352" s="1" t="s">
        <v>211</v>
      </c>
      <c r="B352" s="1" t="s">
        <v>611</v>
      </c>
      <c r="D352" s="2">
        <v>46088</v>
      </c>
      <c r="E352" s="3">
        <f>1239/5</f>
        <v>247.8</v>
      </c>
      <c r="F352" s="1" t="s">
        <v>125</v>
      </c>
      <c r="K352" s="6">
        <f t="shared" ref="K352" si="73">E352+G352</f>
        <v>247.8</v>
      </c>
      <c r="L352" s="1" t="str">
        <f t="shared" ref="L352" si="74">IF(C352="V",1,IF(C352="X",0,""))</f>
        <v/>
      </c>
      <c r="M352" s="1">
        <v>1</v>
      </c>
    </row>
    <row r="353" spans="1:13" x14ac:dyDescent="0.45">
      <c r="A353" s="1" t="s">
        <v>211</v>
      </c>
      <c r="B353" s="1" t="s">
        <v>612</v>
      </c>
      <c r="D353" s="2">
        <v>46088</v>
      </c>
      <c r="E353" s="3">
        <f t="shared" ref="E353:E366" si="75">1239/5</f>
        <v>247.8</v>
      </c>
      <c r="F353" s="1" t="s">
        <v>125</v>
      </c>
      <c r="K353" s="6">
        <f t="shared" ref="K353:K366" si="76">E353+G353</f>
        <v>247.8</v>
      </c>
      <c r="L353" s="1" t="str">
        <f t="shared" ref="L353:L366" si="77">IF(C353="V",1,IF(C353="X",0,""))</f>
        <v/>
      </c>
      <c r="M353" s="1">
        <v>1</v>
      </c>
    </row>
    <row r="354" spans="1:13" x14ac:dyDescent="0.45">
      <c r="A354" s="1" t="s">
        <v>211</v>
      </c>
      <c r="B354" s="1" t="s">
        <v>613</v>
      </c>
      <c r="D354" s="2">
        <v>46088</v>
      </c>
      <c r="E354" s="3">
        <f t="shared" si="75"/>
        <v>247.8</v>
      </c>
      <c r="F354" s="1" t="s">
        <v>125</v>
      </c>
      <c r="K354" s="6">
        <f t="shared" si="76"/>
        <v>247.8</v>
      </c>
      <c r="L354" s="1" t="str">
        <f t="shared" si="77"/>
        <v/>
      </c>
      <c r="M354" s="1">
        <v>1</v>
      </c>
    </row>
    <row r="355" spans="1:13" x14ac:dyDescent="0.45">
      <c r="A355" s="1" t="s">
        <v>211</v>
      </c>
      <c r="B355" s="1" t="s">
        <v>614</v>
      </c>
      <c r="D355" s="2">
        <v>46088</v>
      </c>
      <c r="E355" s="3">
        <f t="shared" si="75"/>
        <v>247.8</v>
      </c>
      <c r="F355" s="1" t="s">
        <v>125</v>
      </c>
      <c r="K355" s="6">
        <f t="shared" si="76"/>
        <v>247.8</v>
      </c>
      <c r="L355" s="1" t="str">
        <f t="shared" si="77"/>
        <v/>
      </c>
      <c r="M355" s="1">
        <v>1</v>
      </c>
    </row>
    <row r="356" spans="1:13" x14ac:dyDescent="0.45">
      <c r="A356" s="1" t="s">
        <v>211</v>
      </c>
      <c r="B356" s="1" t="s">
        <v>615</v>
      </c>
      <c r="D356" s="2">
        <v>46088</v>
      </c>
      <c r="E356" s="3">
        <f t="shared" si="75"/>
        <v>247.8</v>
      </c>
      <c r="F356" s="1" t="s">
        <v>125</v>
      </c>
      <c r="K356" s="6">
        <f t="shared" si="76"/>
        <v>247.8</v>
      </c>
      <c r="L356" s="1" t="str">
        <f t="shared" si="77"/>
        <v/>
      </c>
      <c r="M356" s="1">
        <v>1</v>
      </c>
    </row>
    <row r="357" spans="1:13" x14ac:dyDescent="0.45">
      <c r="A357" s="1" t="s">
        <v>211</v>
      </c>
      <c r="B357" s="1" t="s">
        <v>616</v>
      </c>
      <c r="D357" s="2">
        <v>46088</v>
      </c>
      <c r="E357" s="3">
        <f t="shared" si="75"/>
        <v>247.8</v>
      </c>
      <c r="F357" s="1" t="s">
        <v>125</v>
      </c>
      <c r="K357" s="6">
        <f t="shared" si="76"/>
        <v>247.8</v>
      </c>
      <c r="L357" s="1" t="str">
        <f t="shared" si="77"/>
        <v/>
      </c>
      <c r="M357" s="1">
        <v>1</v>
      </c>
    </row>
    <row r="358" spans="1:13" x14ac:dyDescent="0.45">
      <c r="A358" s="1" t="s">
        <v>211</v>
      </c>
      <c r="B358" s="1" t="s">
        <v>617</v>
      </c>
      <c r="D358" s="2">
        <v>46088</v>
      </c>
      <c r="E358" s="3">
        <f t="shared" si="75"/>
        <v>247.8</v>
      </c>
      <c r="F358" s="1" t="s">
        <v>125</v>
      </c>
      <c r="K358" s="6">
        <f t="shared" si="76"/>
        <v>247.8</v>
      </c>
      <c r="L358" s="1" t="str">
        <f t="shared" si="77"/>
        <v/>
      </c>
      <c r="M358" s="1">
        <v>1</v>
      </c>
    </row>
    <row r="359" spans="1:13" x14ac:dyDescent="0.45">
      <c r="A359" s="1" t="s">
        <v>211</v>
      </c>
      <c r="B359" s="1" t="s">
        <v>618</v>
      </c>
      <c r="D359" s="2">
        <v>46088</v>
      </c>
      <c r="E359" s="3">
        <f t="shared" si="75"/>
        <v>247.8</v>
      </c>
      <c r="F359" s="1" t="s">
        <v>125</v>
      </c>
      <c r="K359" s="6">
        <f t="shared" si="76"/>
        <v>247.8</v>
      </c>
      <c r="L359" s="1" t="str">
        <f t="shared" si="77"/>
        <v/>
      </c>
      <c r="M359" s="1">
        <v>1</v>
      </c>
    </row>
    <row r="360" spans="1:13" x14ac:dyDescent="0.45">
      <c r="A360" s="1" t="s">
        <v>211</v>
      </c>
      <c r="B360" s="1" t="s">
        <v>619</v>
      </c>
      <c r="D360" s="2">
        <v>46088</v>
      </c>
      <c r="E360" s="3">
        <f t="shared" si="75"/>
        <v>247.8</v>
      </c>
      <c r="F360" s="1" t="s">
        <v>125</v>
      </c>
      <c r="K360" s="6">
        <f t="shared" si="76"/>
        <v>247.8</v>
      </c>
      <c r="L360" s="1" t="str">
        <f t="shared" si="77"/>
        <v/>
      </c>
      <c r="M360" s="1">
        <v>1</v>
      </c>
    </row>
    <row r="361" spans="1:13" x14ac:dyDescent="0.45">
      <c r="A361" s="1" t="s">
        <v>211</v>
      </c>
      <c r="B361" s="1" t="s">
        <v>620</v>
      </c>
      <c r="D361" s="2">
        <v>46088</v>
      </c>
      <c r="E361" s="3">
        <f t="shared" si="75"/>
        <v>247.8</v>
      </c>
      <c r="F361" s="1" t="s">
        <v>125</v>
      </c>
      <c r="K361" s="6">
        <f t="shared" si="76"/>
        <v>247.8</v>
      </c>
      <c r="L361" s="1" t="str">
        <f t="shared" si="77"/>
        <v/>
      </c>
      <c r="M361" s="1">
        <v>1</v>
      </c>
    </row>
    <row r="362" spans="1:13" x14ac:dyDescent="0.45">
      <c r="A362" s="1" t="s">
        <v>211</v>
      </c>
      <c r="B362" s="1" t="s">
        <v>621</v>
      </c>
      <c r="D362" s="2">
        <v>46088</v>
      </c>
      <c r="E362" s="3">
        <f t="shared" si="75"/>
        <v>247.8</v>
      </c>
      <c r="F362" s="1" t="s">
        <v>125</v>
      </c>
      <c r="K362" s="6">
        <f t="shared" si="76"/>
        <v>247.8</v>
      </c>
      <c r="L362" s="1" t="str">
        <f t="shared" si="77"/>
        <v/>
      </c>
      <c r="M362" s="1">
        <v>1</v>
      </c>
    </row>
    <row r="363" spans="1:13" x14ac:dyDescent="0.45">
      <c r="A363" s="1" t="s">
        <v>211</v>
      </c>
      <c r="B363" s="1" t="s">
        <v>622</v>
      </c>
      <c r="D363" s="2">
        <v>46088</v>
      </c>
      <c r="E363" s="3">
        <f t="shared" si="75"/>
        <v>247.8</v>
      </c>
      <c r="F363" s="1" t="s">
        <v>125</v>
      </c>
      <c r="K363" s="6">
        <f t="shared" si="76"/>
        <v>247.8</v>
      </c>
      <c r="L363" s="1" t="str">
        <f t="shared" si="77"/>
        <v/>
      </c>
      <c r="M363" s="1">
        <v>1</v>
      </c>
    </row>
    <row r="364" spans="1:13" x14ac:dyDescent="0.45">
      <c r="A364" s="1" t="s">
        <v>211</v>
      </c>
      <c r="B364" s="1" t="s">
        <v>623</v>
      </c>
      <c r="D364" s="2">
        <v>46088</v>
      </c>
      <c r="E364" s="3">
        <f t="shared" si="75"/>
        <v>247.8</v>
      </c>
      <c r="F364" s="1" t="s">
        <v>125</v>
      </c>
      <c r="K364" s="6">
        <f t="shared" si="76"/>
        <v>247.8</v>
      </c>
      <c r="L364" s="1" t="str">
        <f t="shared" si="77"/>
        <v/>
      </c>
      <c r="M364" s="1">
        <v>1</v>
      </c>
    </row>
    <row r="365" spans="1:13" x14ac:dyDescent="0.45">
      <c r="A365" s="1" t="s">
        <v>211</v>
      </c>
      <c r="B365" s="1" t="s">
        <v>624</v>
      </c>
      <c r="D365" s="2">
        <v>46088</v>
      </c>
      <c r="E365" s="3">
        <f t="shared" si="75"/>
        <v>247.8</v>
      </c>
      <c r="F365" s="1" t="s">
        <v>125</v>
      </c>
      <c r="K365" s="6">
        <f t="shared" si="76"/>
        <v>247.8</v>
      </c>
      <c r="L365" s="1" t="str">
        <f t="shared" si="77"/>
        <v/>
      </c>
      <c r="M365" s="1">
        <v>1</v>
      </c>
    </row>
    <row r="366" spans="1:13" x14ac:dyDescent="0.45">
      <c r="A366" s="1" t="s">
        <v>211</v>
      </c>
      <c r="B366" s="1" t="s">
        <v>625</v>
      </c>
      <c r="D366" s="2">
        <v>46088</v>
      </c>
      <c r="E366" s="3">
        <f t="shared" si="75"/>
        <v>247.8</v>
      </c>
      <c r="F366" s="1" t="s">
        <v>125</v>
      </c>
      <c r="K366" s="6">
        <f t="shared" si="76"/>
        <v>247.8</v>
      </c>
      <c r="L366" s="1" t="str">
        <f t="shared" si="77"/>
        <v/>
      </c>
      <c r="M366" s="1">
        <v>1</v>
      </c>
    </row>
    <row r="367" spans="1:13" x14ac:dyDescent="0.45">
      <c r="A367" s="1" t="s">
        <v>211</v>
      </c>
      <c r="B367" s="1" t="s">
        <v>278</v>
      </c>
      <c r="C367" s="1" t="s">
        <v>118</v>
      </c>
      <c r="D367" s="2">
        <v>45546</v>
      </c>
      <c r="E367" s="1">
        <v>179</v>
      </c>
      <c r="F367" s="1" t="s">
        <v>273</v>
      </c>
      <c r="G367" s="1">
        <v>-161</v>
      </c>
      <c r="K367" s="6">
        <f t="shared" ref="K367:K430" si="78">E367+G367</f>
        <v>18</v>
      </c>
      <c r="L367" s="1">
        <f t="shared" si="69"/>
        <v>1</v>
      </c>
      <c r="M367" s="1">
        <v>1</v>
      </c>
    </row>
    <row r="368" spans="1:13" x14ac:dyDescent="0.45">
      <c r="A368" s="1" t="s">
        <v>211</v>
      </c>
      <c r="B368" s="1" t="s">
        <v>279</v>
      </c>
      <c r="C368" s="1" t="s">
        <v>118</v>
      </c>
      <c r="D368" s="2">
        <v>45546</v>
      </c>
      <c r="E368" s="1">
        <v>179</v>
      </c>
      <c r="F368" s="1" t="s">
        <v>273</v>
      </c>
      <c r="G368" s="1">
        <v>-161</v>
      </c>
      <c r="K368" s="6">
        <f t="shared" si="78"/>
        <v>18</v>
      </c>
      <c r="L368" s="1">
        <f t="shared" si="69"/>
        <v>1</v>
      </c>
      <c r="M368" s="1">
        <v>1</v>
      </c>
    </row>
    <row r="369" spans="1:13" x14ac:dyDescent="0.45">
      <c r="A369" s="1" t="s">
        <v>211</v>
      </c>
      <c r="B369" s="1" t="s">
        <v>280</v>
      </c>
      <c r="C369" s="1" t="s">
        <v>118</v>
      </c>
      <c r="D369" s="2">
        <v>45546</v>
      </c>
      <c r="E369" s="1">
        <v>179</v>
      </c>
      <c r="F369" s="1" t="s">
        <v>273</v>
      </c>
      <c r="G369" s="1">
        <v>-161</v>
      </c>
      <c r="K369" s="6">
        <f t="shared" si="78"/>
        <v>18</v>
      </c>
      <c r="L369" s="1">
        <f t="shared" si="69"/>
        <v>1</v>
      </c>
      <c r="M369" s="1">
        <v>1</v>
      </c>
    </row>
    <row r="370" spans="1:13" x14ac:dyDescent="0.45">
      <c r="A370" s="1" t="s">
        <v>211</v>
      </c>
      <c r="B370" s="1" t="s">
        <v>281</v>
      </c>
      <c r="C370" s="1" t="s">
        <v>118</v>
      </c>
      <c r="D370" s="2">
        <v>45546</v>
      </c>
      <c r="E370" s="1">
        <v>179</v>
      </c>
      <c r="F370" s="1" t="s">
        <v>273</v>
      </c>
      <c r="G370" s="1">
        <v>-161</v>
      </c>
      <c r="K370" s="6">
        <f t="shared" si="78"/>
        <v>18</v>
      </c>
      <c r="L370" s="1">
        <f t="shared" si="69"/>
        <v>1</v>
      </c>
      <c r="M370" s="1">
        <v>1</v>
      </c>
    </row>
    <row r="371" spans="1:13" x14ac:dyDescent="0.45">
      <c r="A371" s="1" t="s">
        <v>211</v>
      </c>
      <c r="B371" s="1" t="s">
        <v>282</v>
      </c>
      <c r="C371" s="1" t="s">
        <v>118</v>
      </c>
      <c r="D371" s="2">
        <v>45546</v>
      </c>
      <c r="E371" s="1">
        <v>179</v>
      </c>
      <c r="F371" s="1" t="s">
        <v>273</v>
      </c>
      <c r="G371" s="1">
        <v>-161</v>
      </c>
      <c r="K371" s="6">
        <f t="shared" si="78"/>
        <v>18</v>
      </c>
      <c r="L371" s="1">
        <f t="shared" si="69"/>
        <v>1</v>
      </c>
      <c r="M371" s="1">
        <v>1</v>
      </c>
    </row>
    <row r="372" spans="1:13" x14ac:dyDescent="0.45">
      <c r="A372" s="1" t="s">
        <v>211</v>
      </c>
      <c r="B372" s="1" t="s">
        <v>283</v>
      </c>
      <c r="C372" s="1" t="s">
        <v>118</v>
      </c>
      <c r="D372" s="2">
        <v>45546</v>
      </c>
      <c r="E372" s="1">
        <v>179</v>
      </c>
      <c r="F372" s="1" t="s">
        <v>273</v>
      </c>
      <c r="G372" s="1">
        <v>-161</v>
      </c>
      <c r="K372" s="6">
        <f t="shared" si="78"/>
        <v>18</v>
      </c>
      <c r="L372" s="1">
        <f t="shared" si="69"/>
        <v>1</v>
      </c>
      <c r="M372" s="1">
        <v>1</v>
      </c>
    </row>
    <row r="373" spans="1:13" x14ac:dyDescent="0.45">
      <c r="A373" s="1" t="s">
        <v>211</v>
      </c>
      <c r="B373" s="1" t="s">
        <v>284</v>
      </c>
      <c r="C373" s="1" t="s">
        <v>118</v>
      </c>
      <c r="D373" s="2">
        <v>45546</v>
      </c>
      <c r="E373" s="1">
        <v>179</v>
      </c>
      <c r="F373" s="1" t="s">
        <v>273</v>
      </c>
      <c r="G373" s="1">
        <v>-161</v>
      </c>
      <c r="K373" s="6">
        <f t="shared" si="78"/>
        <v>18</v>
      </c>
      <c r="L373" s="1">
        <f t="shared" si="69"/>
        <v>1</v>
      </c>
      <c r="M373" s="1">
        <v>1</v>
      </c>
    </row>
    <row r="374" spans="1:13" x14ac:dyDescent="0.45">
      <c r="A374" s="1" t="s">
        <v>211</v>
      </c>
      <c r="B374" s="1" t="s">
        <v>285</v>
      </c>
      <c r="C374" s="1" t="s">
        <v>118</v>
      </c>
      <c r="D374" s="2">
        <v>45546</v>
      </c>
      <c r="E374" s="1">
        <v>179</v>
      </c>
      <c r="F374" s="1" t="s">
        <v>273</v>
      </c>
      <c r="G374" s="1">
        <v>-161</v>
      </c>
      <c r="K374" s="6">
        <f t="shared" si="78"/>
        <v>18</v>
      </c>
      <c r="L374" s="1">
        <f t="shared" si="69"/>
        <v>1</v>
      </c>
      <c r="M374" s="1">
        <v>1</v>
      </c>
    </row>
    <row r="375" spans="1:13" x14ac:dyDescent="0.45">
      <c r="A375" s="1" t="s">
        <v>211</v>
      </c>
      <c r="B375" s="1" t="s">
        <v>286</v>
      </c>
      <c r="C375" s="1" t="s">
        <v>118</v>
      </c>
      <c r="D375" s="2">
        <v>45546</v>
      </c>
      <c r="E375" s="1">
        <v>179</v>
      </c>
      <c r="F375" s="1" t="s">
        <v>273</v>
      </c>
      <c r="G375" s="1">
        <v>-161</v>
      </c>
      <c r="K375" s="6">
        <f t="shared" si="78"/>
        <v>18</v>
      </c>
      <c r="L375" s="1">
        <f t="shared" si="69"/>
        <v>1</v>
      </c>
      <c r="M375" s="1">
        <v>1</v>
      </c>
    </row>
    <row r="376" spans="1:13" x14ac:dyDescent="0.45">
      <c r="A376" s="1" t="s">
        <v>211</v>
      </c>
      <c r="B376" s="1" t="s">
        <v>287</v>
      </c>
      <c r="C376" s="1" t="s">
        <v>118</v>
      </c>
      <c r="D376" s="2">
        <v>45546</v>
      </c>
      <c r="E376" s="1">
        <v>179</v>
      </c>
      <c r="F376" s="1" t="s">
        <v>273</v>
      </c>
      <c r="G376" s="1">
        <v>-161</v>
      </c>
      <c r="K376" s="6">
        <f t="shared" si="78"/>
        <v>18</v>
      </c>
      <c r="L376" s="1">
        <f t="shared" si="69"/>
        <v>1</v>
      </c>
      <c r="M376" s="1">
        <v>1</v>
      </c>
    </row>
    <row r="377" spans="1:13" x14ac:dyDescent="0.45">
      <c r="A377" s="1" t="s">
        <v>211</v>
      </c>
      <c r="B377" s="1" t="s">
        <v>288</v>
      </c>
      <c r="C377" s="1" t="s">
        <v>118</v>
      </c>
      <c r="D377" s="2">
        <v>45585</v>
      </c>
      <c r="E377" s="1">
        <v>219</v>
      </c>
      <c r="F377" s="1" t="s">
        <v>125</v>
      </c>
      <c r="G377" s="1">
        <v>-171</v>
      </c>
      <c r="J377" s="1" t="s">
        <v>313</v>
      </c>
      <c r="K377" s="6">
        <f t="shared" si="78"/>
        <v>48</v>
      </c>
      <c r="L377" s="1">
        <f t="shared" si="69"/>
        <v>1</v>
      </c>
      <c r="M377" s="1">
        <v>1</v>
      </c>
    </row>
    <row r="378" spans="1:13" x14ac:dyDescent="0.45">
      <c r="A378" s="1" t="s">
        <v>211</v>
      </c>
      <c r="B378" s="1" t="s">
        <v>289</v>
      </c>
      <c r="C378" s="1" t="s">
        <v>118</v>
      </c>
      <c r="D378" s="2">
        <v>45585</v>
      </c>
      <c r="E378" s="1">
        <v>219</v>
      </c>
      <c r="F378" s="1" t="s">
        <v>125</v>
      </c>
      <c r="G378" s="1">
        <v>-171</v>
      </c>
      <c r="J378" s="1" t="s">
        <v>313</v>
      </c>
      <c r="K378" s="6">
        <f t="shared" si="78"/>
        <v>48</v>
      </c>
      <c r="L378" s="1">
        <f t="shared" si="69"/>
        <v>1</v>
      </c>
      <c r="M378" s="1">
        <v>1</v>
      </c>
    </row>
    <row r="379" spans="1:13" x14ac:dyDescent="0.45">
      <c r="A379" s="1" t="s">
        <v>211</v>
      </c>
      <c r="B379" s="1" t="s">
        <v>290</v>
      </c>
      <c r="C379" s="1" t="s">
        <v>118</v>
      </c>
      <c r="D379" s="2">
        <v>45585</v>
      </c>
      <c r="E379" s="1">
        <v>219</v>
      </c>
      <c r="F379" s="1" t="s">
        <v>125</v>
      </c>
      <c r="G379" s="1">
        <v>-171</v>
      </c>
      <c r="J379" s="1" t="s">
        <v>312</v>
      </c>
      <c r="K379" s="6">
        <f t="shared" si="78"/>
        <v>48</v>
      </c>
      <c r="L379" s="1">
        <f t="shared" si="69"/>
        <v>1</v>
      </c>
      <c r="M379" s="1">
        <v>1</v>
      </c>
    </row>
    <row r="380" spans="1:13" x14ac:dyDescent="0.45">
      <c r="A380" s="1" t="s">
        <v>211</v>
      </c>
      <c r="B380" s="1" t="s">
        <v>291</v>
      </c>
      <c r="C380" s="1" t="s">
        <v>118</v>
      </c>
      <c r="D380" s="2">
        <v>45585</v>
      </c>
      <c r="E380" s="1">
        <v>219</v>
      </c>
      <c r="F380" s="1" t="s">
        <v>125</v>
      </c>
      <c r="G380" s="1">
        <v>-171</v>
      </c>
      <c r="J380" s="1" t="s">
        <v>312</v>
      </c>
      <c r="K380" s="6">
        <f t="shared" si="78"/>
        <v>48</v>
      </c>
      <c r="L380" s="1">
        <f t="shared" si="69"/>
        <v>1</v>
      </c>
      <c r="M380" s="1">
        <v>1</v>
      </c>
    </row>
    <row r="381" spans="1:13" x14ac:dyDescent="0.45">
      <c r="A381" s="1" t="s">
        <v>211</v>
      </c>
      <c r="B381" s="1" t="s">
        <v>292</v>
      </c>
      <c r="C381" s="1" t="s">
        <v>118</v>
      </c>
      <c r="D381" s="2">
        <v>45585</v>
      </c>
      <c r="E381" s="1">
        <v>219</v>
      </c>
      <c r="F381" s="1" t="s">
        <v>125</v>
      </c>
      <c r="G381" s="1">
        <v>-171</v>
      </c>
      <c r="J381" s="1" t="s">
        <v>312</v>
      </c>
      <c r="K381" s="6">
        <f t="shared" si="78"/>
        <v>48</v>
      </c>
      <c r="L381" s="1">
        <f t="shared" si="69"/>
        <v>1</v>
      </c>
      <c r="M381" s="1">
        <v>1</v>
      </c>
    </row>
    <row r="382" spans="1:13" x14ac:dyDescent="0.45">
      <c r="A382" s="1" t="s">
        <v>211</v>
      </c>
      <c r="B382" s="1" t="s">
        <v>293</v>
      </c>
      <c r="C382" s="1" t="s">
        <v>118</v>
      </c>
      <c r="D382" s="2">
        <v>45585</v>
      </c>
      <c r="E382" s="1">
        <v>219</v>
      </c>
      <c r="F382" s="1" t="s">
        <v>125</v>
      </c>
      <c r="G382" s="1">
        <v>-171</v>
      </c>
      <c r="J382" s="1" t="s">
        <v>312</v>
      </c>
      <c r="K382" s="6">
        <f t="shared" si="78"/>
        <v>48</v>
      </c>
      <c r="L382" s="1">
        <f t="shared" si="69"/>
        <v>1</v>
      </c>
      <c r="M382" s="1">
        <v>1</v>
      </c>
    </row>
    <row r="383" spans="1:13" x14ac:dyDescent="0.45">
      <c r="A383" s="1" t="s">
        <v>211</v>
      </c>
      <c r="B383" s="1" t="s">
        <v>294</v>
      </c>
      <c r="C383" s="1" t="s">
        <v>118</v>
      </c>
      <c r="D383" s="2">
        <v>45585</v>
      </c>
      <c r="E383" s="1">
        <v>219</v>
      </c>
      <c r="F383" s="1" t="s">
        <v>125</v>
      </c>
      <c r="G383" s="1">
        <v>-171</v>
      </c>
      <c r="J383" s="1" t="s">
        <v>312</v>
      </c>
      <c r="K383" s="6">
        <f t="shared" si="78"/>
        <v>48</v>
      </c>
      <c r="L383" s="1">
        <f t="shared" si="69"/>
        <v>1</v>
      </c>
      <c r="M383" s="1">
        <v>1</v>
      </c>
    </row>
    <row r="384" spans="1:13" x14ac:dyDescent="0.45">
      <c r="A384" s="1" t="s">
        <v>211</v>
      </c>
      <c r="B384" s="1" t="s">
        <v>295</v>
      </c>
      <c r="C384" s="1" t="s">
        <v>118</v>
      </c>
      <c r="D384" s="2">
        <v>45585</v>
      </c>
      <c r="E384" s="1">
        <v>219</v>
      </c>
      <c r="F384" s="1" t="s">
        <v>125</v>
      </c>
      <c r="G384" s="1">
        <v>-171</v>
      </c>
      <c r="J384" s="1" t="s">
        <v>312</v>
      </c>
      <c r="K384" s="6">
        <f t="shared" si="78"/>
        <v>48</v>
      </c>
      <c r="L384" s="1">
        <f t="shared" si="69"/>
        <v>1</v>
      </c>
      <c r="M384" s="1">
        <v>1</v>
      </c>
    </row>
    <row r="385" spans="1:13" x14ac:dyDescent="0.45">
      <c r="A385" s="1" t="s">
        <v>211</v>
      </c>
      <c r="B385" s="1" t="s">
        <v>296</v>
      </c>
      <c r="C385" s="1" t="s">
        <v>118</v>
      </c>
      <c r="D385" s="2">
        <v>45585</v>
      </c>
      <c r="E385" s="1">
        <v>219</v>
      </c>
      <c r="F385" s="1" t="s">
        <v>125</v>
      </c>
      <c r="G385" s="1">
        <v>-171</v>
      </c>
      <c r="J385" s="1" t="s">
        <v>312</v>
      </c>
      <c r="K385" s="6">
        <f t="shared" si="78"/>
        <v>48</v>
      </c>
      <c r="L385" s="1">
        <f t="shared" si="69"/>
        <v>1</v>
      </c>
      <c r="M385" s="1">
        <v>1</v>
      </c>
    </row>
    <row r="386" spans="1:13" x14ac:dyDescent="0.45">
      <c r="A386" s="1" t="s">
        <v>211</v>
      </c>
      <c r="B386" s="1" t="s">
        <v>297</v>
      </c>
      <c r="C386" s="1" t="s">
        <v>118</v>
      </c>
      <c r="D386" s="2">
        <v>45585</v>
      </c>
      <c r="E386" s="1">
        <v>219</v>
      </c>
      <c r="F386" s="1" t="s">
        <v>125</v>
      </c>
      <c r="G386" s="1">
        <v>-171</v>
      </c>
      <c r="J386" s="1" t="s">
        <v>312</v>
      </c>
      <c r="K386" s="6">
        <f t="shared" si="78"/>
        <v>48</v>
      </c>
      <c r="L386" s="1">
        <f t="shared" si="69"/>
        <v>1</v>
      </c>
      <c r="M386" s="1">
        <v>1</v>
      </c>
    </row>
    <row r="387" spans="1:13" x14ac:dyDescent="0.45">
      <c r="A387" s="1" t="s">
        <v>211</v>
      </c>
      <c r="B387" s="1" t="s">
        <v>298</v>
      </c>
      <c r="C387" s="1" t="s">
        <v>118</v>
      </c>
      <c r="D387" s="2">
        <v>45596</v>
      </c>
      <c r="E387" s="1">
        <v>177</v>
      </c>
      <c r="F387" s="1" t="s">
        <v>126</v>
      </c>
      <c r="G387" s="1">
        <v>-171</v>
      </c>
      <c r="K387" s="6">
        <f t="shared" si="78"/>
        <v>6</v>
      </c>
      <c r="L387" s="1">
        <f t="shared" si="69"/>
        <v>1</v>
      </c>
      <c r="M387" s="1">
        <v>1</v>
      </c>
    </row>
    <row r="388" spans="1:13" x14ac:dyDescent="0.45">
      <c r="A388" s="1" t="s">
        <v>211</v>
      </c>
      <c r="B388" s="1" t="s">
        <v>299</v>
      </c>
      <c r="C388" s="1" t="s">
        <v>118</v>
      </c>
      <c r="D388" s="2">
        <v>45596</v>
      </c>
      <c r="E388" s="1">
        <v>177</v>
      </c>
      <c r="F388" s="1" t="s">
        <v>126</v>
      </c>
      <c r="G388" s="1">
        <f t="shared" ref="G388:G396" si="79">-171</f>
        <v>-171</v>
      </c>
      <c r="K388" s="6">
        <f t="shared" si="78"/>
        <v>6</v>
      </c>
      <c r="L388" s="1">
        <f t="shared" si="69"/>
        <v>1</v>
      </c>
      <c r="M388" s="1">
        <v>1</v>
      </c>
    </row>
    <row r="389" spans="1:13" x14ac:dyDescent="0.45">
      <c r="A389" s="1" t="s">
        <v>211</v>
      </c>
      <c r="B389" s="1" t="s">
        <v>300</v>
      </c>
      <c r="C389" s="1" t="s">
        <v>118</v>
      </c>
      <c r="D389" s="2">
        <v>45596</v>
      </c>
      <c r="E389" s="1">
        <v>177</v>
      </c>
      <c r="F389" s="1" t="s">
        <v>126</v>
      </c>
      <c r="G389" s="1">
        <f t="shared" si="79"/>
        <v>-171</v>
      </c>
      <c r="K389" s="6">
        <f t="shared" si="78"/>
        <v>6</v>
      </c>
      <c r="L389" s="1">
        <f t="shared" si="69"/>
        <v>1</v>
      </c>
      <c r="M389" s="1">
        <v>1</v>
      </c>
    </row>
    <row r="390" spans="1:13" x14ac:dyDescent="0.45">
      <c r="A390" s="1" t="s">
        <v>211</v>
      </c>
      <c r="B390" s="1" t="s">
        <v>301</v>
      </c>
      <c r="C390" s="1" t="s">
        <v>118</v>
      </c>
      <c r="D390" s="2">
        <v>45596</v>
      </c>
      <c r="E390" s="1">
        <v>177</v>
      </c>
      <c r="F390" s="1" t="s">
        <v>126</v>
      </c>
      <c r="G390" s="1">
        <f t="shared" si="79"/>
        <v>-171</v>
      </c>
      <c r="K390" s="6">
        <f t="shared" si="78"/>
        <v>6</v>
      </c>
      <c r="L390" s="1">
        <f t="shared" si="69"/>
        <v>1</v>
      </c>
      <c r="M390" s="1">
        <v>1</v>
      </c>
    </row>
    <row r="391" spans="1:13" x14ac:dyDescent="0.45">
      <c r="A391" s="1" t="s">
        <v>211</v>
      </c>
      <c r="B391" s="1" t="s">
        <v>302</v>
      </c>
      <c r="C391" s="1" t="s">
        <v>118</v>
      </c>
      <c r="D391" s="2">
        <v>45596</v>
      </c>
      <c r="E391" s="1">
        <v>177</v>
      </c>
      <c r="F391" s="1" t="s">
        <v>126</v>
      </c>
      <c r="G391" s="1">
        <f t="shared" si="79"/>
        <v>-171</v>
      </c>
      <c r="K391" s="6">
        <f t="shared" si="78"/>
        <v>6</v>
      </c>
      <c r="L391" s="1">
        <f t="shared" si="69"/>
        <v>1</v>
      </c>
      <c r="M391" s="1">
        <v>1</v>
      </c>
    </row>
    <row r="392" spans="1:13" x14ac:dyDescent="0.45">
      <c r="A392" s="1" t="s">
        <v>211</v>
      </c>
      <c r="B392" s="1" t="s">
        <v>303</v>
      </c>
      <c r="C392" s="1" t="s">
        <v>118</v>
      </c>
      <c r="D392" s="2">
        <v>45596</v>
      </c>
      <c r="E392" s="1">
        <v>177</v>
      </c>
      <c r="F392" s="1" t="s">
        <v>126</v>
      </c>
      <c r="G392" s="1">
        <f t="shared" si="79"/>
        <v>-171</v>
      </c>
      <c r="K392" s="6">
        <f t="shared" si="78"/>
        <v>6</v>
      </c>
      <c r="L392" s="1">
        <f t="shared" si="69"/>
        <v>1</v>
      </c>
      <c r="M392" s="1">
        <v>1</v>
      </c>
    </row>
    <row r="393" spans="1:13" x14ac:dyDescent="0.45">
      <c r="A393" s="1" t="s">
        <v>211</v>
      </c>
      <c r="B393" s="1" t="s">
        <v>304</v>
      </c>
      <c r="C393" s="1" t="s">
        <v>118</v>
      </c>
      <c r="D393" s="2">
        <v>45596</v>
      </c>
      <c r="E393" s="1">
        <v>177</v>
      </c>
      <c r="F393" s="1" t="s">
        <v>126</v>
      </c>
      <c r="G393" s="1">
        <f t="shared" si="79"/>
        <v>-171</v>
      </c>
      <c r="K393" s="6">
        <f t="shared" si="78"/>
        <v>6</v>
      </c>
      <c r="L393" s="1">
        <f t="shared" si="69"/>
        <v>1</v>
      </c>
      <c r="M393" s="1">
        <v>1</v>
      </c>
    </row>
    <row r="394" spans="1:13" x14ac:dyDescent="0.45">
      <c r="A394" s="1" t="s">
        <v>211</v>
      </c>
      <c r="B394" s="1" t="s">
        <v>305</v>
      </c>
      <c r="C394" s="1" t="s">
        <v>118</v>
      </c>
      <c r="D394" s="2">
        <v>45596</v>
      </c>
      <c r="E394" s="1">
        <v>177</v>
      </c>
      <c r="F394" s="1" t="s">
        <v>126</v>
      </c>
      <c r="G394" s="1">
        <f t="shared" si="79"/>
        <v>-171</v>
      </c>
      <c r="K394" s="6">
        <f t="shared" si="78"/>
        <v>6</v>
      </c>
      <c r="L394" s="1">
        <f t="shared" si="69"/>
        <v>1</v>
      </c>
      <c r="M394" s="1">
        <v>1</v>
      </c>
    </row>
    <row r="395" spans="1:13" x14ac:dyDescent="0.45">
      <c r="A395" s="1" t="s">
        <v>211</v>
      </c>
      <c r="B395" s="1" t="s">
        <v>306</v>
      </c>
      <c r="C395" s="1" t="s">
        <v>118</v>
      </c>
      <c r="D395" s="2">
        <v>45596</v>
      </c>
      <c r="E395" s="1">
        <v>177</v>
      </c>
      <c r="F395" s="1" t="s">
        <v>126</v>
      </c>
      <c r="G395" s="1">
        <f t="shared" si="79"/>
        <v>-171</v>
      </c>
      <c r="K395" s="6">
        <f t="shared" si="78"/>
        <v>6</v>
      </c>
      <c r="L395" s="1">
        <f t="shared" si="69"/>
        <v>1</v>
      </c>
      <c r="M395" s="1">
        <v>1</v>
      </c>
    </row>
    <row r="396" spans="1:13" x14ac:dyDescent="0.45">
      <c r="A396" s="1" t="s">
        <v>211</v>
      </c>
      <c r="B396" s="1" t="s">
        <v>307</v>
      </c>
      <c r="C396" s="1" t="s">
        <v>118</v>
      </c>
      <c r="D396" s="2">
        <v>45596</v>
      </c>
      <c r="E396" s="1">
        <v>177</v>
      </c>
      <c r="F396" s="1" t="s">
        <v>126</v>
      </c>
      <c r="G396" s="1">
        <f t="shared" si="79"/>
        <v>-171</v>
      </c>
      <c r="K396" s="6">
        <f t="shared" si="78"/>
        <v>6</v>
      </c>
      <c r="L396" s="1">
        <f t="shared" si="69"/>
        <v>1</v>
      </c>
      <c r="M396" s="1">
        <v>1</v>
      </c>
    </row>
    <row r="397" spans="1:13" x14ac:dyDescent="0.45">
      <c r="A397" s="1" t="s">
        <v>211</v>
      </c>
      <c r="B397" s="1" t="s">
        <v>314</v>
      </c>
      <c r="C397" s="1" t="s">
        <v>118</v>
      </c>
      <c r="D397" s="2">
        <v>45547</v>
      </c>
      <c r="E397" s="1">
        <f>494/2</f>
        <v>247</v>
      </c>
      <c r="F397" s="1" t="s">
        <v>273</v>
      </c>
      <c r="I397" s="2">
        <v>46118</v>
      </c>
      <c r="K397" s="6">
        <f t="shared" si="78"/>
        <v>247</v>
      </c>
      <c r="L397" s="1">
        <f t="shared" si="69"/>
        <v>1</v>
      </c>
      <c r="M397" s="1">
        <v>1</v>
      </c>
    </row>
    <row r="398" spans="1:13" x14ac:dyDescent="0.45">
      <c r="A398" s="1" t="s">
        <v>211</v>
      </c>
      <c r="B398" s="1" t="s">
        <v>315</v>
      </c>
      <c r="C398" s="1" t="s">
        <v>118</v>
      </c>
      <c r="D398" s="2">
        <v>45547</v>
      </c>
      <c r="E398" s="1">
        <f>494/2</f>
        <v>247</v>
      </c>
      <c r="F398" s="1" t="s">
        <v>273</v>
      </c>
      <c r="I398" s="2">
        <v>46118</v>
      </c>
      <c r="K398" s="6">
        <f t="shared" si="78"/>
        <v>247</v>
      </c>
      <c r="L398" s="1">
        <f t="shared" si="69"/>
        <v>1</v>
      </c>
      <c r="M398" s="1">
        <v>1</v>
      </c>
    </row>
    <row r="399" spans="1:13" x14ac:dyDescent="0.45">
      <c r="A399" s="1" t="s">
        <v>211</v>
      </c>
      <c r="B399" s="1" t="s">
        <v>316</v>
      </c>
      <c r="C399" s="1" t="s">
        <v>118</v>
      </c>
      <c r="D399" s="2">
        <v>45546</v>
      </c>
      <c r="E399" s="1">
        <f>1105/5</f>
        <v>221</v>
      </c>
      <c r="F399" s="1" t="s">
        <v>184</v>
      </c>
      <c r="G399" s="3">
        <f>-1211/5</f>
        <v>-242.2</v>
      </c>
      <c r="H399" s="2">
        <v>46077</v>
      </c>
      <c r="I399" s="2">
        <v>46060</v>
      </c>
      <c r="J399" s="1" t="s">
        <v>609</v>
      </c>
      <c r="K399" s="6">
        <f t="shared" si="78"/>
        <v>-21.199999999999989</v>
      </c>
      <c r="L399" s="1">
        <f t="shared" si="69"/>
        <v>1</v>
      </c>
      <c r="M399" s="1">
        <v>1</v>
      </c>
    </row>
    <row r="400" spans="1:13" x14ac:dyDescent="0.45">
      <c r="A400" s="1" t="s">
        <v>211</v>
      </c>
      <c r="B400" s="1" t="s">
        <v>317</v>
      </c>
      <c r="C400" s="1" t="s">
        <v>118</v>
      </c>
      <c r="D400" s="2">
        <v>45546</v>
      </c>
      <c r="E400" s="1">
        <f t="shared" ref="E400:E403" si="80">1105/5</f>
        <v>221</v>
      </c>
      <c r="F400" s="1" t="s">
        <v>184</v>
      </c>
      <c r="G400" s="3">
        <f t="shared" ref="G400:G403" si="81">-1211/5</f>
        <v>-242.2</v>
      </c>
      <c r="H400" s="2">
        <v>46077</v>
      </c>
      <c r="K400" s="6">
        <f t="shared" si="78"/>
        <v>-21.199999999999989</v>
      </c>
      <c r="L400" s="1">
        <f t="shared" si="69"/>
        <v>1</v>
      </c>
      <c r="M400" s="1">
        <v>1</v>
      </c>
    </row>
    <row r="401" spans="1:13" x14ac:dyDescent="0.45">
      <c r="A401" s="1" t="s">
        <v>211</v>
      </c>
      <c r="B401" s="1" t="s">
        <v>318</v>
      </c>
      <c r="C401" s="1" t="s">
        <v>118</v>
      </c>
      <c r="D401" s="2">
        <v>45546</v>
      </c>
      <c r="E401" s="1">
        <f t="shared" si="80"/>
        <v>221</v>
      </c>
      <c r="F401" s="1" t="s">
        <v>184</v>
      </c>
      <c r="G401" s="3">
        <f t="shared" si="81"/>
        <v>-242.2</v>
      </c>
      <c r="H401" s="2">
        <v>46077</v>
      </c>
      <c r="K401" s="6">
        <f t="shared" si="78"/>
        <v>-21.199999999999989</v>
      </c>
      <c r="L401" s="1">
        <f t="shared" si="69"/>
        <v>1</v>
      </c>
      <c r="M401" s="1">
        <v>1</v>
      </c>
    </row>
    <row r="402" spans="1:13" x14ac:dyDescent="0.45">
      <c r="A402" s="1" t="s">
        <v>211</v>
      </c>
      <c r="B402" s="1" t="s">
        <v>319</v>
      </c>
      <c r="C402" s="1" t="s">
        <v>118</v>
      </c>
      <c r="D402" s="2">
        <v>45546</v>
      </c>
      <c r="E402" s="1">
        <f t="shared" si="80"/>
        <v>221</v>
      </c>
      <c r="F402" s="1" t="s">
        <v>184</v>
      </c>
      <c r="G402" s="3">
        <f t="shared" si="81"/>
        <v>-242.2</v>
      </c>
      <c r="H402" s="2">
        <v>46077</v>
      </c>
      <c r="K402" s="6">
        <f t="shared" si="78"/>
        <v>-21.199999999999989</v>
      </c>
      <c r="L402" s="1">
        <f t="shared" si="69"/>
        <v>1</v>
      </c>
      <c r="M402" s="1">
        <v>1</v>
      </c>
    </row>
    <row r="403" spans="1:13" x14ac:dyDescent="0.45">
      <c r="A403" s="1" t="s">
        <v>211</v>
      </c>
      <c r="B403" s="1" t="s">
        <v>320</v>
      </c>
      <c r="C403" s="1" t="s">
        <v>118</v>
      </c>
      <c r="D403" s="2">
        <v>45546</v>
      </c>
      <c r="E403" s="1">
        <f t="shared" si="80"/>
        <v>221</v>
      </c>
      <c r="F403" s="1" t="s">
        <v>184</v>
      </c>
      <c r="G403" s="3">
        <f t="shared" si="81"/>
        <v>-242.2</v>
      </c>
      <c r="H403" s="2">
        <v>46077</v>
      </c>
      <c r="K403" s="6">
        <f t="shared" si="78"/>
        <v>-21.199999999999989</v>
      </c>
      <c r="L403" s="1">
        <f t="shared" si="69"/>
        <v>1</v>
      </c>
      <c r="M403" s="1">
        <v>1</v>
      </c>
    </row>
    <row r="404" spans="1:13" x14ac:dyDescent="0.45">
      <c r="A404" s="1" t="s">
        <v>211</v>
      </c>
      <c r="B404" s="1" t="s">
        <v>321</v>
      </c>
      <c r="C404" s="1" t="s">
        <v>118</v>
      </c>
      <c r="D404" s="2">
        <v>45546</v>
      </c>
      <c r="E404" s="1">
        <v>241</v>
      </c>
      <c r="F404" s="1" t="s">
        <v>184</v>
      </c>
      <c r="G404" s="1">
        <v>-200</v>
      </c>
      <c r="K404" s="6">
        <f t="shared" si="78"/>
        <v>41</v>
      </c>
      <c r="L404" s="1">
        <f t="shared" si="69"/>
        <v>1</v>
      </c>
      <c r="M404" s="1">
        <v>1</v>
      </c>
    </row>
    <row r="405" spans="1:13" x14ac:dyDescent="0.45">
      <c r="A405" s="1" t="s">
        <v>211</v>
      </c>
      <c r="B405" s="1" t="s">
        <v>322</v>
      </c>
      <c r="C405" s="1" t="s">
        <v>118</v>
      </c>
      <c r="D405" s="2">
        <v>45546</v>
      </c>
      <c r="E405" s="1">
        <v>241</v>
      </c>
      <c r="F405" s="1" t="s">
        <v>184</v>
      </c>
      <c r="G405" s="1">
        <v>-200</v>
      </c>
      <c r="K405" s="6">
        <f t="shared" si="78"/>
        <v>41</v>
      </c>
      <c r="L405" s="1">
        <f t="shared" si="69"/>
        <v>1</v>
      </c>
      <c r="M405" s="1">
        <v>1</v>
      </c>
    </row>
    <row r="406" spans="1:13" x14ac:dyDescent="0.45">
      <c r="A406" s="1" t="s">
        <v>211</v>
      </c>
      <c r="B406" s="1" t="s">
        <v>323</v>
      </c>
      <c r="C406" s="1" t="s">
        <v>118</v>
      </c>
      <c r="D406" s="2">
        <v>45546</v>
      </c>
      <c r="E406" s="1">
        <v>241</v>
      </c>
      <c r="F406" s="1" t="s">
        <v>184</v>
      </c>
      <c r="G406" s="1">
        <v>-200</v>
      </c>
      <c r="K406" s="6">
        <f t="shared" si="78"/>
        <v>41</v>
      </c>
      <c r="L406" s="1">
        <f t="shared" si="69"/>
        <v>1</v>
      </c>
      <c r="M406" s="1">
        <v>1</v>
      </c>
    </row>
    <row r="407" spans="1:13" x14ac:dyDescent="0.45">
      <c r="A407" s="1" t="s">
        <v>211</v>
      </c>
      <c r="B407" s="1" t="s">
        <v>324</v>
      </c>
      <c r="C407" s="1" t="s">
        <v>118</v>
      </c>
      <c r="D407" s="2">
        <v>45546</v>
      </c>
      <c r="E407" s="1">
        <v>241</v>
      </c>
      <c r="F407" s="1" t="s">
        <v>184</v>
      </c>
      <c r="G407" s="1">
        <v>-231</v>
      </c>
      <c r="H407" s="2">
        <v>46036</v>
      </c>
      <c r="K407" s="6">
        <f t="shared" si="78"/>
        <v>10</v>
      </c>
      <c r="L407" s="1">
        <f t="shared" si="69"/>
        <v>1</v>
      </c>
      <c r="M407" s="1">
        <v>1</v>
      </c>
    </row>
    <row r="408" spans="1:13" x14ac:dyDescent="0.45">
      <c r="A408" s="1" t="s">
        <v>211</v>
      </c>
      <c r="B408" s="1" t="s">
        <v>325</v>
      </c>
      <c r="C408" s="1" t="s">
        <v>118</v>
      </c>
      <c r="D408" s="2">
        <v>45546</v>
      </c>
      <c r="E408" s="1">
        <v>241</v>
      </c>
      <c r="F408" s="1" t="s">
        <v>184</v>
      </c>
      <c r="G408" s="1">
        <v>-231</v>
      </c>
      <c r="H408" s="2">
        <v>46036</v>
      </c>
      <c r="K408" s="6">
        <f t="shared" si="78"/>
        <v>10</v>
      </c>
      <c r="L408" s="1">
        <f t="shared" si="69"/>
        <v>1</v>
      </c>
      <c r="M408" s="1">
        <v>1</v>
      </c>
    </row>
    <row r="409" spans="1:13" x14ac:dyDescent="0.45">
      <c r="A409" s="1" t="s">
        <v>211</v>
      </c>
      <c r="B409" s="1" t="s">
        <v>326</v>
      </c>
      <c r="C409" s="1" t="s">
        <v>118</v>
      </c>
      <c r="D409" s="2">
        <v>45546</v>
      </c>
      <c r="E409" s="1">
        <v>262</v>
      </c>
      <c r="F409" s="1" t="s">
        <v>184</v>
      </c>
      <c r="I409" s="2">
        <v>45940</v>
      </c>
      <c r="K409" s="6">
        <f t="shared" si="78"/>
        <v>262</v>
      </c>
      <c r="L409" s="1">
        <f t="shared" ref="L409:L474" si="82">IF(C409="V",1,IF(C409="X",0,""))</f>
        <v>1</v>
      </c>
      <c r="M409" s="1">
        <v>1</v>
      </c>
    </row>
    <row r="410" spans="1:13" x14ac:dyDescent="0.45">
      <c r="A410" s="1" t="s">
        <v>221</v>
      </c>
      <c r="B410" s="1" t="s">
        <v>222</v>
      </c>
      <c r="C410" s="1" t="s">
        <v>118</v>
      </c>
      <c r="D410" s="2">
        <v>45805</v>
      </c>
      <c r="E410" s="1">
        <v>271</v>
      </c>
      <c r="F410" s="1" t="s">
        <v>184</v>
      </c>
      <c r="I410" s="2">
        <v>46054</v>
      </c>
      <c r="K410" s="6">
        <f t="shared" si="78"/>
        <v>271</v>
      </c>
      <c r="L410" s="1">
        <f t="shared" si="82"/>
        <v>1</v>
      </c>
      <c r="M410" s="1">
        <v>1</v>
      </c>
    </row>
    <row r="411" spans="1:13" x14ac:dyDescent="0.45">
      <c r="A411" s="1" t="s">
        <v>221</v>
      </c>
      <c r="B411" s="1" t="s">
        <v>223</v>
      </c>
      <c r="D411" s="2">
        <v>45805</v>
      </c>
      <c r="E411" s="1">
        <v>197</v>
      </c>
      <c r="F411" s="1" t="s">
        <v>184</v>
      </c>
      <c r="G411" s="3"/>
      <c r="H411" s="2"/>
      <c r="K411" s="6">
        <f t="shared" si="78"/>
        <v>197</v>
      </c>
      <c r="L411" s="1" t="str">
        <f t="shared" si="82"/>
        <v/>
      </c>
      <c r="M411" s="1">
        <v>1</v>
      </c>
    </row>
    <row r="412" spans="1:13" x14ac:dyDescent="0.45">
      <c r="A412" s="1" t="s">
        <v>221</v>
      </c>
      <c r="B412" s="1" t="s">
        <v>240</v>
      </c>
      <c r="D412" s="2">
        <v>45805</v>
      </c>
      <c r="E412" s="1">
        <v>200</v>
      </c>
      <c r="F412" s="1" t="s">
        <v>184</v>
      </c>
      <c r="G412" s="3"/>
      <c r="H412" s="2"/>
      <c r="I412" s="2"/>
      <c r="K412" s="6">
        <f t="shared" si="78"/>
        <v>200</v>
      </c>
      <c r="L412" s="1" t="str">
        <f t="shared" si="82"/>
        <v/>
      </c>
      <c r="M412" s="1">
        <v>1</v>
      </c>
    </row>
    <row r="413" spans="1:13" x14ac:dyDescent="0.45">
      <c r="A413" s="1" t="s">
        <v>221</v>
      </c>
      <c r="B413" s="1" t="s">
        <v>224</v>
      </c>
      <c r="C413" s="1" t="s">
        <v>118</v>
      </c>
      <c r="D413" s="2">
        <v>45805</v>
      </c>
      <c r="E413" s="3">
        <f>1791/12</f>
        <v>149.25</v>
      </c>
      <c r="F413" s="1" t="s">
        <v>184</v>
      </c>
      <c r="I413" s="2">
        <v>46046</v>
      </c>
      <c r="J413" s="1" t="s">
        <v>606</v>
      </c>
      <c r="K413" s="6">
        <f t="shared" si="78"/>
        <v>149.25</v>
      </c>
      <c r="L413" s="1">
        <f t="shared" si="82"/>
        <v>1</v>
      </c>
      <c r="M413" s="1">
        <v>1</v>
      </c>
    </row>
    <row r="414" spans="1:13" x14ac:dyDescent="0.45">
      <c r="A414" s="1" t="s">
        <v>221</v>
      </c>
      <c r="B414" s="1" t="s">
        <v>225</v>
      </c>
      <c r="C414" s="1" t="s">
        <v>118</v>
      </c>
      <c r="D414" s="2">
        <v>45805</v>
      </c>
      <c r="E414" s="3">
        <f t="shared" ref="E414:E424" si="83">1791/12</f>
        <v>149.25</v>
      </c>
      <c r="F414" s="1" t="s">
        <v>184</v>
      </c>
      <c r="K414" s="6">
        <f t="shared" si="78"/>
        <v>149.25</v>
      </c>
      <c r="L414" s="1">
        <f t="shared" si="82"/>
        <v>1</v>
      </c>
      <c r="M414" s="1">
        <v>1</v>
      </c>
    </row>
    <row r="415" spans="1:13" x14ac:dyDescent="0.45">
      <c r="A415" s="1" t="s">
        <v>221</v>
      </c>
      <c r="B415" s="1" t="s">
        <v>226</v>
      </c>
      <c r="D415" s="2">
        <v>45805</v>
      </c>
      <c r="E415" s="3">
        <f t="shared" si="83"/>
        <v>149.25</v>
      </c>
      <c r="F415" s="1" t="s">
        <v>184</v>
      </c>
      <c r="K415" s="6">
        <f t="shared" si="78"/>
        <v>149.25</v>
      </c>
      <c r="L415" s="1" t="str">
        <f t="shared" si="82"/>
        <v/>
      </c>
      <c r="M415" s="1">
        <v>1</v>
      </c>
    </row>
    <row r="416" spans="1:13" x14ac:dyDescent="0.45">
      <c r="A416" s="1" t="s">
        <v>221</v>
      </c>
      <c r="B416" s="1" t="s">
        <v>227</v>
      </c>
      <c r="D416" s="2">
        <v>45805</v>
      </c>
      <c r="E416" s="3">
        <f t="shared" si="83"/>
        <v>149.25</v>
      </c>
      <c r="F416" s="1" t="s">
        <v>184</v>
      </c>
      <c r="K416" s="6">
        <f t="shared" si="78"/>
        <v>149.25</v>
      </c>
      <c r="L416" s="1" t="str">
        <f t="shared" si="82"/>
        <v/>
      </c>
      <c r="M416" s="1">
        <v>1</v>
      </c>
    </row>
    <row r="417" spans="1:13" x14ac:dyDescent="0.45">
      <c r="A417" s="1" t="s">
        <v>221</v>
      </c>
      <c r="B417" s="1" t="s">
        <v>228</v>
      </c>
      <c r="D417" s="2">
        <v>45805</v>
      </c>
      <c r="E417" s="3">
        <f t="shared" si="83"/>
        <v>149.25</v>
      </c>
      <c r="F417" s="1" t="s">
        <v>184</v>
      </c>
      <c r="K417" s="6">
        <f t="shared" si="78"/>
        <v>149.25</v>
      </c>
      <c r="L417" s="1" t="str">
        <f t="shared" si="82"/>
        <v/>
      </c>
      <c r="M417" s="1">
        <v>1</v>
      </c>
    </row>
    <row r="418" spans="1:13" x14ac:dyDescent="0.45">
      <c r="A418" s="1" t="s">
        <v>221</v>
      </c>
      <c r="B418" s="1" t="s">
        <v>229</v>
      </c>
      <c r="D418" s="2">
        <v>45805</v>
      </c>
      <c r="E418" s="3">
        <f t="shared" si="83"/>
        <v>149.25</v>
      </c>
      <c r="F418" s="1" t="s">
        <v>184</v>
      </c>
      <c r="K418" s="6">
        <f t="shared" si="78"/>
        <v>149.25</v>
      </c>
      <c r="L418" s="1" t="str">
        <f t="shared" si="82"/>
        <v/>
      </c>
      <c r="M418" s="1">
        <v>1</v>
      </c>
    </row>
    <row r="419" spans="1:13" x14ac:dyDescent="0.45">
      <c r="A419" s="1" t="s">
        <v>221</v>
      </c>
      <c r="B419" s="1" t="s">
        <v>230</v>
      </c>
      <c r="D419" s="2">
        <v>45805</v>
      </c>
      <c r="E419" s="3">
        <f t="shared" si="83"/>
        <v>149.25</v>
      </c>
      <c r="F419" s="1" t="s">
        <v>184</v>
      </c>
      <c r="K419" s="6">
        <f t="shared" si="78"/>
        <v>149.25</v>
      </c>
      <c r="L419" s="1" t="str">
        <f t="shared" si="82"/>
        <v/>
      </c>
      <c r="M419" s="1">
        <v>1</v>
      </c>
    </row>
    <row r="420" spans="1:13" x14ac:dyDescent="0.45">
      <c r="A420" s="1" t="s">
        <v>221</v>
      </c>
      <c r="B420" s="1" t="s">
        <v>231</v>
      </c>
      <c r="D420" s="2">
        <v>45805</v>
      </c>
      <c r="E420" s="3">
        <f t="shared" si="83"/>
        <v>149.25</v>
      </c>
      <c r="F420" s="1" t="s">
        <v>184</v>
      </c>
      <c r="K420" s="6">
        <f t="shared" si="78"/>
        <v>149.25</v>
      </c>
      <c r="L420" s="1" t="str">
        <f t="shared" si="82"/>
        <v/>
      </c>
      <c r="M420" s="1">
        <v>1</v>
      </c>
    </row>
    <row r="421" spans="1:13" x14ac:dyDescent="0.45">
      <c r="A421" s="1" t="s">
        <v>221</v>
      </c>
      <c r="B421" s="1" t="s">
        <v>232</v>
      </c>
      <c r="D421" s="2">
        <v>45805</v>
      </c>
      <c r="E421" s="3">
        <f t="shared" si="83"/>
        <v>149.25</v>
      </c>
      <c r="F421" s="1" t="s">
        <v>184</v>
      </c>
      <c r="K421" s="6">
        <f t="shared" si="78"/>
        <v>149.25</v>
      </c>
      <c r="L421" s="1" t="str">
        <f t="shared" si="82"/>
        <v/>
      </c>
      <c r="M421" s="1">
        <v>1</v>
      </c>
    </row>
    <row r="422" spans="1:13" x14ac:dyDescent="0.45">
      <c r="A422" s="1" t="s">
        <v>221</v>
      </c>
      <c r="B422" s="1" t="s">
        <v>233</v>
      </c>
      <c r="D422" s="2">
        <v>45805</v>
      </c>
      <c r="E422" s="3">
        <f t="shared" si="83"/>
        <v>149.25</v>
      </c>
      <c r="F422" s="1" t="s">
        <v>184</v>
      </c>
      <c r="K422" s="6">
        <f t="shared" si="78"/>
        <v>149.25</v>
      </c>
      <c r="L422" s="1" t="str">
        <f t="shared" si="82"/>
        <v/>
      </c>
      <c r="M422" s="1">
        <v>1</v>
      </c>
    </row>
    <row r="423" spans="1:13" x14ac:dyDescent="0.45">
      <c r="A423" s="1" t="s">
        <v>221</v>
      </c>
      <c r="B423" s="1" t="s">
        <v>234</v>
      </c>
      <c r="D423" s="2">
        <v>45805</v>
      </c>
      <c r="E423" s="3">
        <f t="shared" si="83"/>
        <v>149.25</v>
      </c>
      <c r="F423" s="1" t="s">
        <v>184</v>
      </c>
      <c r="K423" s="6">
        <f t="shared" si="78"/>
        <v>149.25</v>
      </c>
      <c r="L423" s="1" t="str">
        <f t="shared" si="82"/>
        <v/>
      </c>
      <c r="M423" s="1">
        <v>1</v>
      </c>
    </row>
    <row r="424" spans="1:13" x14ac:dyDescent="0.45">
      <c r="A424" s="1" t="s">
        <v>221</v>
      </c>
      <c r="B424" s="1" t="s">
        <v>235</v>
      </c>
      <c r="D424" s="2">
        <v>45805</v>
      </c>
      <c r="E424" s="3">
        <f t="shared" si="83"/>
        <v>149.25</v>
      </c>
      <c r="F424" s="1" t="s">
        <v>184</v>
      </c>
      <c r="K424" s="6">
        <f t="shared" si="78"/>
        <v>149.25</v>
      </c>
      <c r="L424" s="1" t="str">
        <f t="shared" si="82"/>
        <v/>
      </c>
      <c r="M424" s="1">
        <v>1</v>
      </c>
    </row>
    <row r="425" spans="1:13" x14ac:dyDescent="0.45">
      <c r="A425" s="1" t="s">
        <v>221</v>
      </c>
      <c r="B425" s="1" t="s">
        <v>236</v>
      </c>
      <c r="D425" s="2">
        <v>45805</v>
      </c>
      <c r="E425" s="1">
        <v>218</v>
      </c>
      <c r="F425" s="1" t="s">
        <v>184</v>
      </c>
      <c r="K425" s="6">
        <f t="shared" si="78"/>
        <v>218</v>
      </c>
      <c r="L425" s="1" t="str">
        <f t="shared" si="82"/>
        <v/>
      </c>
      <c r="M425" s="1">
        <v>1</v>
      </c>
    </row>
    <row r="426" spans="1:13" x14ac:dyDescent="0.45">
      <c r="A426" s="1" t="s">
        <v>221</v>
      </c>
      <c r="B426" s="1" t="s">
        <v>237</v>
      </c>
      <c r="D426" s="2">
        <v>45805</v>
      </c>
      <c r="E426" s="1">
        <v>218</v>
      </c>
      <c r="F426" s="1" t="s">
        <v>184</v>
      </c>
      <c r="K426" s="6">
        <f t="shared" si="78"/>
        <v>218</v>
      </c>
      <c r="L426" s="1" t="str">
        <f t="shared" si="82"/>
        <v/>
      </c>
      <c r="M426" s="1">
        <v>1</v>
      </c>
    </row>
    <row r="427" spans="1:13" x14ac:dyDescent="0.45">
      <c r="A427" s="1" t="s">
        <v>221</v>
      </c>
      <c r="B427" s="1" t="s">
        <v>238</v>
      </c>
      <c r="D427" s="2">
        <v>45805</v>
      </c>
      <c r="E427" s="1">
        <v>200</v>
      </c>
      <c r="F427" s="1" t="s">
        <v>184</v>
      </c>
      <c r="K427" s="6">
        <f t="shared" si="78"/>
        <v>200</v>
      </c>
      <c r="L427" s="1" t="str">
        <f t="shared" si="82"/>
        <v/>
      </c>
      <c r="M427" s="1">
        <v>1</v>
      </c>
    </row>
    <row r="428" spans="1:13" x14ac:dyDescent="0.45">
      <c r="A428" s="1" t="s">
        <v>221</v>
      </c>
      <c r="B428" s="1" t="s">
        <v>239</v>
      </c>
      <c r="D428" s="2">
        <v>45805</v>
      </c>
      <c r="E428" s="1">
        <v>200</v>
      </c>
      <c r="F428" s="1" t="s">
        <v>184</v>
      </c>
      <c r="K428" s="6">
        <f t="shared" si="78"/>
        <v>200</v>
      </c>
      <c r="L428" s="1" t="str">
        <f t="shared" si="82"/>
        <v/>
      </c>
      <c r="M428" s="1">
        <v>1</v>
      </c>
    </row>
    <row r="429" spans="1:13" x14ac:dyDescent="0.45">
      <c r="A429" s="1" t="s">
        <v>221</v>
      </c>
      <c r="B429" s="1" t="s">
        <v>345</v>
      </c>
      <c r="C429" s="1" t="s">
        <v>118</v>
      </c>
      <c r="D429" s="2">
        <v>45199</v>
      </c>
      <c r="E429" s="3">
        <f>929/5</f>
        <v>185.8</v>
      </c>
      <c r="F429" s="1" t="s">
        <v>125</v>
      </c>
      <c r="G429" s="3">
        <f t="shared" ref="G429:G433" si="84">-1465/10</f>
        <v>-146.5</v>
      </c>
      <c r="K429" s="6">
        <f t="shared" si="78"/>
        <v>39.300000000000011</v>
      </c>
      <c r="L429" s="1">
        <f t="shared" si="82"/>
        <v>1</v>
      </c>
      <c r="M429" s="1">
        <v>1</v>
      </c>
    </row>
    <row r="430" spans="1:13" x14ac:dyDescent="0.45">
      <c r="A430" s="1" t="s">
        <v>221</v>
      </c>
      <c r="B430" s="1" t="s">
        <v>346</v>
      </c>
      <c r="C430" s="1" t="s">
        <v>118</v>
      </c>
      <c r="D430" s="2">
        <v>45199</v>
      </c>
      <c r="E430" s="3">
        <f t="shared" ref="E430:E434" si="85">929/5</f>
        <v>185.8</v>
      </c>
      <c r="F430" s="1" t="s">
        <v>125</v>
      </c>
      <c r="G430" s="3">
        <f t="shared" si="84"/>
        <v>-146.5</v>
      </c>
      <c r="K430" s="6">
        <f t="shared" si="78"/>
        <v>39.300000000000011</v>
      </c>
      <c r="L430" s="1">
        <f t="shared" si="82"/>
        <v>1</v>
      </c>
      <c r="M430" s="1">
        <v>1</v>
      </c>
    </row>
    <row r="431" spans="1:13" x14ac:dyDescent="0.45">
      <c r="A431" s="1" t="s">
        <v>221</v>
      </c>
      <c r="B431" s="1" t="s">
        <v>347</v>
      </c>
      <c r="C431" s="1" t="s">
        <v>118</v>
      </c>
      <c r="D431" s="2">
        <v>45199</v>
      </c>
      <c r="E431" s="3">
        <f t="shared" si="85"/>
        <v>185.8</v>
      </c>
      <c r="F431" s="1" t="s">
        <v>125</v>
      </c>
      <c r="G431" s="3">
        <f t="shared" si="84"/>
        <v>-146.5</v>
      </c>
      <c r="K431" s="6">
        <f t="shared" ref="K431:K484" si="86">E431+G431</f>
        <v>39.300000000000011</v>
      </c>
      <c r="L431" s="1">
        <f t="shared" si="82"/>
        <v>1</v>
      </c>
      <c r="M431" s="1">
        <v>1</v>
      </c>
    </row>
    <row r="432" spans="1:13" x14ac:dyDescent="0.45">
      <c r="A432" s="1" t="s">
        <v>221</v>
      </c>
      <c r="B432" s="1" t="s">
        <v>348</v>
      </c>
      <c r="C432" s="1" t="s">
        <v>118</v>
      </c>
      <c r="D432" s="2">
        <v>45199</v>
      </c>
      <c r="E432" s="3">
        <f t="shared" si="85"/>
        <v>185.8</v>
      </c>
      <c r="F432" s="1" t="s">
        <v>125</v>
      </c>
      <c r="G432" s="3">
        <f t="shared" si="84"/>
        <v>-146.5</v>
      </c>
      <c r="K432" s="6">
        <f t="shared" si="86"/>
        <v>39.300000000000011</v>
      </c>
      <c r="L432" s="1">
        <f t="shared" si="82"/>
        <v>1</v>
      </c>
      <c r="M432" s="1">
        <v>1</v>
      </c>
    </row>
    <row r="433" spans="1:13" x14ac:dyDescent="0.45">
      <c r="A433" s="1" t="s">
        <v>221</v>
      </c>
      <c r="B433" s="1" t="s">
        <v>349</v>
      </c>
      <c r="C433" s="1" t="s">
        <v>118</v>
      </c>
      <c r="D433" s="2">
        <v>45199</v>
      </c>
      <c r="E433" s="3">
        <f t="shared" si="85"/>
        <v>185.8</v>
      </c>
      <c r="F433" s="1" t="s">
        <v>125</v>
      </c>
      <c r="G433" s="3">
        <f t="shared" si="84"/>
        <v>-146.5</v>
      </c>
      <c r="K433" s="6">
        <f t="shared" si="86"/>
        <v>39.300000000000011</v>
      </c>
      <c r="L433" s="1">
        <f t="shared" si="82"/>
        <v>1</v>
      </c>
      <c r="M433" s="1">
        <v>1</v>
      </c>
    </row>
    <row r="434" spans="1:13" x14ac:dyDescent="0.45">
      <c r="A434" s="1" t="s">
        <v>221</v>
      </c>
      <c r="B434" s="1" t="s">
        <v>350</v>
      </c>
      <c r="C434" s="1" t="s">
        <v>118</v>
      </c>
      <c r="D434" s="2">
        <v>45199</v>
      </c>
      <c r="E434" s="3">
        <f t="shared" si="85"/>
        <v>185.8</v>
      </c>
      <c r="F434" s="1" t="s">
        <v>125</v>
      </c>
      <c r="G434" s="3">
        <f>-1465/10</f>
        <v>-146.5</v>
      </c>
      <c r="K434" s="6">
        <f t="shared" si="86"/>
        <v>39.300000000000011</v>
      </c>
      <c r="L434" s="1">
        <f t="shared" si="82"/>
        <v>1</v>
      </c>
      <c r="M434" s="1">
        <v>1</v>
      </c>
    </row>
    <row r="435" spans="1:13" x14ac:dyDescent="0.45">
      <c r="A435" s="1" t="s">
        <v>221</v>
      </c>
      <c r="B435" s="1" t="s">
        <v>351</v>
      </c>
      <c r="C435" s="1" t="s">
        <v>118</v>
      </c>
      <c r="D435" s="2">
        <v>45199</v>
      </c>
      <c r="E435" s="3">
        <f t="shared" ref="E435:E438" si="87">1275/6</f>
        <v>212.5</v>
      </c>
      <c r="F435" s="1" t="s">
        <v>125</v>
      </c>
      <c r="G435" s="3">
        <f t="shared" ref="G435:G438" si="88">-1465/10</f>
        <v>-146.5</v>
      </c>
      <c r="K435" s="6">
        <f t="shared" si="86"/>
        <v>66</v>
      </c>
      <c r="L435" s="1">
        <f t="shared" si="82"/>
        <v>1</v>
      </c>
      <c r="M435" s="1">
        <v>1</v>
      </c>
    </row>
    <row r="436" spans="1:13" x14ac:dyDescent="0.45">
      <c r="A436" s="1" t="s">
        <v>221</v>
      </c>
      <c r="B436" s="1" t="s">
        <v>352</v>
      </c>
      <c r="C436" s="1" t="s">
        <v>118</v>
      </c>
      <c r="D436" s="2">
        <v>45199</v>
      </c>
      <c r="E436" s="3">
        <f t="shared" si="87"/>
        <v>212.5</v>
      </c>
      <c r="F436" s="1" t="s">
        <v>125</v>
      </c>
      <c r="G436" s="3">
        <f t="shared" si="88"/>
        <v>-146.5</v>
      </c>
      <c r="K436" s="6">
        <f t="shared" si="86"/>
        <v>66</v>
      </c>
      <c r="L436" s="1">
        <f t="shared" si="82"/>
        <v>1</v>
      </c>
      <c r="M436" s="1">
        <v>1</v>
      </c>
    </row>
    <row r="437" spans="1:13" x14ac:dyDescent="0.45">
      <c r="A437" s="1" t="s">
        <v>221</v>
      </c>
      <c r="B437" s="1" t="s">
        <v>353</v>
      </c>
      <c r="C437" s="1" t="s">
        <v>118</v>
      </c>
      <c r="D437" s="2">
        <v>45199</v>
      </c>
      <c r="E437" s="3">
        <f t="shared" si="87"/>
        <v>212.5</v>
      </c>
      <c r="F437" s="1" t="s">
        <v>125</v>
      </c>
      <c r="G437" s="3">
        <f t="shared" si="88"/>
        <v>-146.5</v>
      </c>
      <c r="K437" s="6">
        <f t="shared" si="86"/>
        <v>66</v>
      </c>
      <c r="L437" s="1">
        <f t="shared" si="82"/>
        <v>1</v>
      </c>
      <c r="M437" s="1">
        <v>1</v>
      </c>
    </row>
    <row r="438" spans="1:13" x14ac:dyDescent="0.45">
      <c r="A438" s="1" t="s">
        <v>221</v>
      </c>
      <c r="B438" s="1" t="s">
        <v>354</v>
      </c>
      <c r="C438" s="1" t="s">
        <v>118</v>
      </c>
      <c r="D438" s="2">
        <v>45199</v>
      </c>
      <c r="E438" s="3">
        <f t="shared" si="87"/>
        <v>212.5</v>
      </c>
      <c r="F438" s="1" t="s">
        <v>125</v>
      </c>
      <c r="G438" s="3">
        <f t="shared" si="88"/>
        <v>-146.5</v>
      </c>
      <c r="K438" s="6">
        <f t="shared" si="86"/>
        <v>66</v>
      </c>
      <c r="L438" s="1">
        <f t="shared" si="82"/>
        <v>1</v>
      </c>
      <c r="M438" s="1">
        <v>1</v>
      </c>
    </row>
    <row r="439" spans="1:13" x14ac:dyDescent="0.45">
      <c r="A439" s="1" t="s">
        <v>249</v>
      </c>
      <c r="B439" s="1" t="s">
        <v>538</v>
      </c>
      <c r="D439" s="2">
        <v>45992</v>
      </c>
      <c r="E439" s="3">
        <f>1054/5</f>
        <v>210.8</v>
      </c>
      <c r="F439" s="1" t="s">
        <v>125</v>
      </c>
      <c r="K439" s="6">
        <f t="shared" ref="K439" si="89">E439+G439</f>
        <v>210.8</v>
      </c>
      <c r="L439" s="1" t="str">
        <f t="shared" si="82"/>
        <v/>
      </c>
      <c r="M439" s="1">
        <v>1</v>
      </c>
    </row>
    <row r="440" spans="1:13" x14ac:dyDescent="0.45">
      <c r="A440" s="1" t="s">
        <v>249</v>
      </c>
      <c r="B440" s="1" t="s">
        <v>539</v>
      </c>
      <c r="D440" s="2">
        <v>45992</v>
      </c>
      <c r="E440" s="3">
        <f t="shared" ref="E440:E443" si="90">1054/5</f>
        <v>210.8</v>
      </c>
      <c r="F440" s="1" t="s">
        <v>125</v>
      </c>
      <c r="K440" s="6">
        <f t="shared" ref="K440:K443" si="91">E440+G440</f>
        <v>210.8</v>
      </c>
      <c r="L440" s="1" t="str">
        <f t="shared" si="82"/>
        <v/>
      </c>
      <c r="M440" s="1">
        <v>1</v>
      </c>
    </row>
    <row r="441" spans="1:13" x14ac:dyDescent="0.45">
      <c r="A441" s="1" t="s">
        <v>249</v>
      </c>
      <c r="B441" s="1" t="s">
        <v>540</v>
      </c>
      <c r="D441" s="2">
        <v>45992</v>
      </c>
      <c r="E441" s="3">
        <f t="shared" si="90"/>
        <v>210.8</v>
      </c>
      <c r="F441" s="1" t="s">
        <v>125</v>
      </c>
      <c r="K441" s="6">
        <f t="shared" si="91"/>
        <v>210.8</v>
      </c>
      <c r="L441" s="1" t="str">
        <f t="shared" si="82"/>
        <v/>
      </c>
      <c r="M441" s="1">
        <v>1</v>
      </c>
    </row>
    <row r="442" spans="1:13" x14ac:dyDescent="0.45">
      <c r="A442" s="1" t="s">
        <v>249</v>
      </c>
      <c r="B442" s="1" t="s">
        <v>541</v>
      </c>
      <c r="D442" s="2">
        <v>45992</v>
      </c>
      <c r="E442" s="3">
        <f t="shared" si="90"/>
        <v>210.8</v>
      </c>
      <c r="F442" s="1" t="s">
        <v>125</v>
      </c>
      <c r="K442" s="6">
        <f t="shared" si="91"/>
        <v>210.8</v>
      </c>
      <c r="L442" s="1" t="str">
        <f t="shared" si="82"/>
        <v/>
      </c>
      <c r="M442" s="1">
        <v>1</v>
      </c>
    </row>
    <row r="443" spans="1:13" x14ac:dyDescent="0.45">
      <c r="A443" s="1" t="s">
        <v>249</v>
      </c>
      <c r="B443" s="1" t="s">
        <v>542</v>
      </c>
      <c r="D443" s="2">
        <v>45992</v>
      </c>
      <c r="E443" s="3">
        <f t="shared" si="90"/>
        <v>210.8</v>
      </c>
      <c r="F443" s="1" t="s">
        <v>125</v>
      </c>
      <c r="K443" s="6">
        <f t="shared" si="91"/>
        <v>210.8</v>
      </c>
      <c r="L443" s="1" t="str">
        <f t="shared" si="82"/>
        <v/>
      </c>
      <c r="M443" s="1">
        <v>1</v>
      </c>
    </row>
    <row r="444" spans="1:13" x14ac:dyDescent="0.45">
      <c r="A444" s="1" t="s">
        <v>249</v>
      </c>
      <c r="B444" s="1" t="s">
        <v>243</v>
      </c>
      <c r="C444" s="1" t="s">
        <v>557</v>
      </c>
      <c r="D444" s="2">
        <v>45800</v>
      </c>
      <c r="E444" s="3">
        <f>1088/6</f>
        <v>181.33333333333334</v>
      </c>
      <c r="F444" s="1" t="s">
        <v>184</v>
      </c>
      <c r="G444" s="1">
        <f>-1062/6</f>
        <v>-177</v>
      </c>
      <c r="H444" s="2">
        <v>46026</v>
      </c>
      <c r="K444" s="6">
        <f t="shared" si="86"/>
        <v>4.3333333333333428</v>
      </c>
      <c r="L444" s="1">
        <f t="shared" si="82"/>
        <v>0</v>
      </c>
      <c r="M444" s="1">
        <v>1</v>
      </c>
    </row>
    <row r="445" spans="1:13" x14ac:dyDescent="0.45">
      <c r="A445" s="1" t="s">
        <v>249</v>
      </c>
      <c r="B445" s="1" t="s">
        <v>244</v>
      </c>
      <c r="C445" s="1" t="s">
        <v>557</v>
      </c>
      <c r="D445" s="2">
        <v>45800</v>
      </c>
      <c r="E445" s="3">
        <f t="shared" ref="E445:E449" si="92">1088/6</f>
        <v>181.33333333333334</v>
      </c>
      <c r="F445" s="1" t="s">
        <v>184</v>
      </c>
      <c r="G445" s="1">
        <f t="shared" ref="G445:G449" si="93">-1062/6</f>
        <v>-177</v>
      </c>
      <c r="H445" s="2">
        <v>46026</v>
      </c>
      <c r="K445" s="6">
        <f t="shared" si="86"/>
        <v>4.3333333333333428</v>
      </c>
      <c r="L445" s="1">
        <f t="shared" si="82"/>
        <v>0</v>
      </c>
      <c r="M445" s="1">
        <v>1</v>
      </c>
    </row>
    <row r="446" spans="1:13" x14ac:dyDescent="0.45">
      <c r="A446" s="1" t="s">
        <v>249</v>
      </c>
      <c r="B446" s="1" t="s">
        <v>245</v>
      </c>
      <c r="C446" s="1" t="s">
        <v>557</v>
      </c>
      <c r="D446" s="2">
        <v>45800</v>
      </c>
      <c r="E446" s="3">
        <f t="shared" si="92"/>
        <v>181.33333333333334</v>
      </c>
      <c r="F446" s="1" t="s">
        <v>184</v>
      </c>
      <c r="G446" s="1">
        <f t="shared" si="93"/>
        <v>-177</v>
      </c>
      <c r="H446" s="2">
        <v>46026</v>
      </c>
      <c r="K446" s="6">
        <f t="shared" si="86"/>
        <v>4.3333333333333428</v>
      </c>
      <c r="L446" s="1">
        <f t="shared" si="82"/>
        <v>0</v>
      </c>
      <c r="M446" s="1">
        <v>1</v>
      </c>
    </row>
    <row r="447" spans="1:13" x14ac:dyDescent="0.45">
      <c r="A447" s="1" t="s">
        <v>249</v>
      </c>
      <c r="B447" s="1" t="s">
        <v>246</v>
      </c>
      <c r="C447" s="1" t="s">
        <v>557</v>
      </c>
      <c r="D447" s="2">
        <v>45800</v>
      </c>
      <c r="E447" s="3">
        <f t="shared" si="92"/>
        <v>181.33333333333334</v>
      </c>
      <c r="F447" s="1" t="s">
        <v>184</v>
      </c>
      <c r="G447" s="1">
        <f t="shared" si="93"/>
        <v>-177</v>
      </c>
      <c r="H447" s="2">
        <v>46026</v>
      </c>
      <c r="K447" s="6">
        <f t="shared" si="86"/>
        <v>4.3333333333333428</v>
      </c>
      <c r="L447" s="1">
        <f t="shared" si="82"/>
        <v>0</v>
      </c>
      <c r="M447" s="1">
        <v>1</v>
      </c>
    </row>
    <row r="448" spans="1:13" x14ac:dyDescent="0.45">
      <c r="A448" s="1" t="s">
        <v>249</v>
      </c>
      <c r="B448" s="1" t="s">
        <v>247</v>
      </c>
      <c r="C448" s="1" t="s">
        <v>557</v>
      </c>
      <c r="D448" s="2">
        <v>45800</v>
      </c>
      <c r="E448" s="3">
        <f t="shared" si="92"/>
        <v>181.33333333333334</v>
      </c>
      <c r="F448" s="1" t="s">
        <v>184</v>
      </c>
      <c r="G448" s="1">
        <f t="shared" si="93"/>
        <v>-177</v>
      </c>
      <c r="H448" s="2">
        <v>46026</v>
      </c>
      <c r="K448" s="6">
        <f t="shared" si="86"/>
        <v>4.3333333333333428</v>
      </c>
      <c r="L448" s="1">
        <f t="shared" si="82"/>
        <v>0</v>
      </c>
      <c r="M448" s="1">
        <v>1</v>
      </c>
    </row>
    <row r="449" spans="1:13" x14ac:dyDescent="0.45">
      <c r="A449" s="1" t="s">
        <v>249</v>
      </c>
      <c r="B449" s="1" t="s">
        <v>248</v>
      </c>
      <c r="C449" s="1" t="s">
        <v>557</v>
      </c>
      <c r="D449" s="2">
        <v>45800</v>
      </c>
      <c r="E449" s="3">
        <f t="shared" si="92"/>
        <v>181.33333333333334</v>
      </c>
      <c r="F449" s="1" t="s">
        <v>184</v>
      </c>
      <c r="G449" s="1">
        <f t="shared" si="93"/>
        <v>-177</v>
      </c>
      <c r="H449" s="2">
        <v>46026</v>
      </c>
      <c r="K449" s="6">
        <f t="shared" si="86"/>
        <v>4.3333333333333428</v>
      </c>
      <c r="L449" s="1">
        <f t="shared" si="82"/>
        <v>0</v>
      </c>
      <c r="M449" s="1">
        <v>1</v>
      </c>
    </row>
    <row r="450" spans="1:13" x14ac:dyDescent="0.45">
      <c r="A450" s="1" t="s">
        <v>249</v>
      </c>
      <c r="B450" s="1" t="s">
        <v>602</v>
      </c>
      <c r="D450" s="2">
        <v>46036</v>
      </c>
      <c r="E450" s="3">
        <f>24500/110</f>
        <v>222.72727272727272</v>
      </c>
      <c r="F450" s="1" t="s">
        <v>593</v>
      </c>
      <c r="J450" s="1" t="s">
        <v>603</v>
      </c>
      <c r="K450" s="6">
        <f t="shared" ref="K450" si="94">E450+G450</f>
        <v>222.72727272727272</v>
      </c>
      <c r="L450" s="1" t="str">
        <f t="shared" ref="L450" si="95">IF(C450="V",1,IF(C450="X",0,""))</f>
        <v/>
      </c>
      <c r="M450" s="1">
        <v>1</v>
      </c>
    </row>
    <row r="451" spans="1:13" x14ac:dyDescent="0.45">
      <c r="A451" s="1" t="s">
        <v>249</v>
      </c>
      <c r="B451" s="1" t="s">
        <v>604</v>
      </c>
      <c r="D451" s="2">
        <v>46036</v>
      </c>
      <c r="E451" s="3">
        <f>24500/110</f>
        <v>222.72727272727272</v>
      </c>
      <c r="F451" s="1" t="s">
        <v>593</v>
      </c>
      <c r="J451" s="1" t="s">
        <v>603</v>
      </c>
      <c r="K451" s="6">
        <f t="shared" ref="K451" si="96">E451+G451</f>
        <v>222.72727272727272</v>
      </c>
      <c r="L451" s="1" t="str">
        <f t="shared" ref="L451" si="97">IF(C451="V",1,IF(C451="X",0,""))</f>
        <v/>
      </c>
      <c r="M451" s="1">
        <v>1</v>
      </c>
    </row>
    <row r="452" spans="1:13" x14ac:dyDescent="0.45">
      <c r="A452" s="1" t="s">
        <v>272</v>
      </c>
      <c r="B452" s="1" t="s">
        <v>262</v>
      </c>
      <c r="C452" s="1" t="s">
        <v>118</v>
      </c>
      <c r="D452" s="2">
        <v>45763</v>
      </c>
      <c r="E452" s="1">
        <v>270</v>
      </c>
      <c r="F452" s="1" t="s">
        <v>273</v>
      </c>
      <c r="G452" s="3">
        <f>-239*0.925</f>
        <v>-221.07500000000002</v>
      </c>
      <c r="H452" s="2">
        <v>45990</v>
      </c>
      <c r="K452" s="6">
        <f t="shared" si="86"/>
        <v>48.924999999999983</v>
      </c>
      <c r="L452" s="1">
        <f t="shared" si="82"/>
        <v>1</v>
      </c>
      <c r="M452" s="1">
        <v>1</v>
      </c>
    </row>
    <row r="453" spans="1:13" x14ac:dyDescent="0.45">
      <c r="A453" s="1" t="s">
        <v>272</v>
      </c>
      <c r="B453" s="1" t="s">
        <v>509</v>
      </c>
      <c r="D453" s="2">
        <v>45145</v>
      </c>
      <c r="E453" s="1">
        <v>250</v>
      </c>
      <c r="F453" s="1" t="s">
        <v>162</v>
      </c>
      <c r="K453" s="6">
        <f t="shared" si="86"/>
        <v>250</v>
      </c>
      <c r="L453" s="1" t="str">
        <f t="shared" si="82"/>
        <v/>
      </c>
      <c r="M453" s="1">
        <v>1</v>
      </c>
    </row>
    <row r="454" spans="1:13" x14ac:dyDescent="0.45">
      <c r="A454" s="1" t="s">
        <v>271</v>
      </c>
      <c r="B454" s="1" t="s">
        <v>267</v>
      </c>
      <c r="C454" s="1" t="s">
        <v>118</v>
      </c>
      <c r="D454" s="2">
        <v>45754</v>
      </c>
      <c r="E454" s="1">
        <f>300*0.72</f>
        <v>216</v>
      </c>
      <c r="F454" s="1" t="s">
        <v>162</v>
      </c>
      <c r="G454" s="1">
        <f>-368/2</f>
        <v>-184</v>
      </c>
      <c r="H454" s="2">
        <v>45926</v>
      </c>
      <c r="K454" s="6">
        <f t="shared" si="86"/>
        <v>32</v>
      </c>
      <c r="L454" s="1">
        <f t="shared" si="82"/>
        <v>1</v>
      </c>
      <c r="M454" s="1">
        <v>1</v>
      </c>
    </row>
    <row r="455" spans="1:13" x14ac:dyDescent="0.45">
      <c r="A455" s="1" t="s">
        <v>271</v>
      </c>
      <c r="B455" s="1" t="s">
        <v>268</v>
      </c>
      <c r="C455" s="1" t="s">
        <v>118</v>
      </c>
      <c r="D455" s="2">
        <v>45754</v>
      </c>
      <c r="E455" s="1">
        <f>300*0.72</f>
        <v>216</v>
      </c>
      <c r="F455" s="1" t="s">
        <v>162</v>
      </c>
      <c r="G455" s="1">
        <f>-368/2</f>
        <v>-184</v>
      </c>
      <c r="H455" s="2">
        <v>45926</v>
      </c>
      <c r="K455" s="6">
        <f t="shared" si="86"/>
        <v>32</v>
      </c>
      <c r="L455" s="1">
        <f t="shared" si="82"/>
        <v>1</v>
      </c>
      <c r="M455" s="1">
        <v>1</v>
      </c>
    </row>
    <row r="456" spans="1:13" x14ac:dyDescent="0.45">
      <c r="A456" s="1" t="s">
        <v>270</v>
      </c>
      <c r="B456" s="1" t="s">
        <v>269</v>
      </c>
      <c r="D456" s="2">
        <v>45754</v>
      </c>
      <c r="E456" s="1">
        <v>3500</v>
      </c>
      <c r="F456" s="1" t="s">
        <v>162</v>
      </c>
      <c r="K456" s="6">
        <f t="shared" si="86"/>
        <v>3500</v>
      </c>
      <c r="L456" s="1" t="str">
        <f t="shared" si="82"/>
        <v/>
      </c>
      <c r="M456" s="1">
        <v>1</v>
      </c>
    </row>
    <row r="457" spans="1:13" x14ac:dyDescent="0.45">
      <c r="A457" s="1" t="s">
        <v>308</v>
      </c>
      <c r="B457" s="1" t="s">
        <v>309</v>
      </c>
      <c r="D457" s="2">
        <v>45592</v>
      </c>
      <c r="E457" s="1">
        <v>280</v>
      </c>
      <c r="F457" s="1" t="s">
        <v>162</v>
      </c>
      <c r="J457" s="1" t="s">
        <v>311</v>
      </c>
      <c r="K457" s="6">
        <f t="shared" si="86"/>
        <v>280</v>
      </c>
      <c r="L457" s="1" t="str">
        <f t="shared" si="82"/>
        <v/>
      </c>
      <c r="M457" s="1">
        <v>1</v>
      </c>
    </row>
    <row r="458" spans="1:13" x14ac:dyDescent="0.45">
      <c r="A458" s="1" t="s">
        <v>308</v>
      </c>
      <c r="B458" s="1" t="s">
        <v>310</v>
      </c>
      <c r="D458" s="2">
        <v>45592</v>
      </c>
      <c r="E458" s="1">
        <v>280</v>
      </c>
      <c r="F458" s="1" t="s">
        <v>162</v>
      </c>
      <c r="J458" s="1" t="s">
        <v>311</v>
      </c>
      <c r="K458" s="6">
        <f t="shared" si="86"/>
        <v>280</v>
      </c>
      <c r="L458" s="1" t="str">
        <f t="shared" si="82"/>
        <v/>
      </c>
      <c r="M458" s="1">
        <v>1</v>
      </c>
    </row>
    <row r="459" spans="1:13" x14ac:dyDescent="0.45">
      <c r="A459" s="1" t="s">
        <v>332</v>
      </c>
      <c r="B459" s="1" t="s">
        <v>333</v>
      </c>
      <c r="C459" s="1" t="s">
        <v>118</v>
      </c>
      <c r="D459" s="2">
        <v>45453</v>
      </c>
      <c r="E459" s="1">
        <f>651/3</f>
        <v>217</v>
      </c>
      <c r="F459" s="1" t="s">
        <v>273</v>
      </c>
      <c r="G459" s="1">
        <f>-1176/7</f>
        <v>-168</v>
      </c>
      <c r="H459" s="2">
        <v>45751</v>
      </c>
      <c r="K459" s="6">
        <f t="shared" si="86"/>
        <v>49</v>
      </c>
      <c r="L459" s="1">
        <f t="shared" si="82"/>
        <v>1</v>
      </c>
      <c r="M459" s="1">
        <v>1</v>
      </c>
    </row>
    <row r="460" spans="1:13" x14ac:dyDescent="0.45">
      <c r="A460" s="1" t="s">
        <v>332</v>
      </c>
      <c r="B460" s="1" t="s">
        <v>334</v>
      </c>
      <c r="C460" s="1" t="s">
        <v>118</v>
      </c>
      <c r="D460" s="2">
        <v>45453</v>
      </c>
      <c r="E460" s="1">
        <f t="shared" ref="E460:E461" si="98">651/3</f>
        <v>217</v>
      </c>
      <c r="F460" s="1" t="s">
        <v>273</v>
      </c>
      <c r="G460" s="1">
        <f t="shared" ref="G460:G465" si="99">-1176/7</f>
        <v>-168</v>
      </c>
      <c r="H460" s="2">
        <v>45751</v>
      </c>
      <c r="K460" s="6">
        <f t="shared" si="86"/>
        <v>49</v>
      </c>
      <c r="L460" s="1">
        <f t="shared" si="82"/>
        <v>1</v>
      </c>
      <c r="M460" s="1">
        <v>1</v>
      </c>
    </row>
    <row r="461" spans="1:13" x14ac:dyDescent="0.45">
      <c r="A461" s="1" t="s">
        <v>332</v>
      </c>
      <c r="B461" s="1" t="s">
        <v>335</v>
      </c>
      <c r="C461" s="1" t="s">
        <v>118</v>
      </c>
      <c r="D461" s="2">
        <v>45453</v>
      </c>
      <c r="E461" s="1">
        <f t="shared" si="98"/>
        <v>217</v>
      </c>
      <c r="F461" s="1" t="s">
        <v>273</v>
      </c>
      <c r="G461" s="1">
        <f t="shared" si="99"/>
        <v>-168</v>
      </c>
      <c r="H461" s="2">
        <v>45751</v>
      </c>
      <c r="K461" s="6">
        <f t="shared" si="86"/>
        <v>49</v>
      </c>
      <c r="L461" s="1">
        <f t="shared" si="82"/>
        <v>1</v>
      </c>
      <c r="M461" s="1">
        <v>1</v>
      </c>
    </row>
    <row r="462" spans="1:13" x14ac:dyDescent="0.45">
      <c r="A462" s="1" t="s">
        <v>332</v>
      </c>
      <c r="B462" s="1" t="s">
        <v>336</v>
      </c>
      <c r="C462" s="1" t="s">
        <v>118</v>
      </c>
      <c r="D462" s="2">
        <v>45453</v>
      </c>
      <c r="E462" s="1">
        <f>651/3</f>
        <v>217</v>
      </c>
      <c r="F462" s="1" t="s">
        <v>273</v>
      </c>
      <c r="G462" s="1">
        <f t="shared" si="99"/>
        <v>-168</v>
      </c>
      <c r="H462" s="2">
        <v>45751</v>
      </c>
      <c r="K462" s="6">
        <f t="shared" si="86"/>
        <v>49</v>
      </c>
      <c r="L462" s="1">
        <f t="shared" si="82"/>
        <v>1</v>
      </c>
      <c r="M462" s="1">
        <v>1</v>
      </c>
    </row>
    <row r="463" spans="1:13" x14ac:dyDescent="0.45">
      <c r="A463" s="1" t="s">
        <v>332</v>
      </c>
      <c r="B463" s="1" t="s">
        <v>337</v>
      </c>
      <c r="C463" s="1" t="s">
        <v>118</v>
      </c>
      <c r="D463" s="2">
        <v>45453</v>
      </c>
      <c r="E463" s="1">
        <f t="shared" ref="E463:E465" si="100">651/3</f>
        <v>217</v>
      </c>
      <c r="F463" s="1" t="s">
        <v>273</v>
      </c>
      <c r="G463" s="1">
        <f t="shared" si="99"/>
        <v>-168</v>
      </c>
      <c r="H463" s="2">
        <v>45751</v>
      </c>
      <c r="K463" s="6">
        <f t="shared" si="86"/>
        <v>49</v>
      </c>
      <c r="L463" s="1">
        <f t="shared" si="82"/>
        <v>1</v>
      </c>
      <c r="M463" s="1">
        <v>1</v>
      </c>
    </row>
    <row r="464" spans="1:13" x14ac:dyDescent="0.45">
      <c r="A464" s="1" t="s">
        <v>332</v>
      </c>
      <c r="B464" s="1" t="s">
        <v>338</v>
      </c>
      <c r="C464" s="1" t="s">
        <v>118</v>
      </c>
      <c r="D464" s="2">
        <v>45453</v>
      </c>
      <c r="E464" s="1">
        <f t="shared" si="100"/>
        <v>217</v>
      </c>
      <c r="F464" s="1" t="s">
        <v>273</v>
      </c>
      <c r="G464" s="1">
        <f t="shared" si="99"/>
        <v>-168</v>
      </c>
      <c r="H464" s="2">
        <v>45751</v>
      </c>
      <c r="K464" s="6">
        <f t="shared" si="86"/>
        <v>49</v>
      </c>
      <c r="L464" s="1">
        <f t="shared" si="82"/>
        <v>1</v>
      </c>
      <c r="M464" s="1">
        <v>1</v>
      </c>
    </row>
    <row r="465" spans="1:13" x14ac:dyDescent="0.45">
      <c r="A465" s="1" t="s">
        <v>332</v>
      </c>
      <c r="B465" s="1" t="s">
        <v>361</v>
      </c>
      <c r="C465" s="1" t="s">
        <v>118</v>
      </c>
      <c r="D465" s="2">
        <v>45453</v>
      </c>
      <c r="E465" s="1">
        <f t="shared" si="100"/>
        <v>217</v>
      </c>
      <c r="F465" s="1" t="s">
        <v>273</v>
      </c>
      <c r="G465" s="1">
        <f t="shared" si="99"/>
        <v>-168</v>
      </c>
      <c r="H465" s="2">
        <v>45751</v>
      </c>
      <c r="K465" s="6">
        <f t="shared" si="86"/>
        <v>49</v>
      </c>
      <c r="L465" s="1">
        <f t="shared" si="82"/>
        <v>1</v>
      </c>
      <c r="M465" s="1">
        <v>1</v>
      </c>
    </row>
    <row r="466" spans="1:13" x14ac:dyDescent="0.45">
      <c r="A466" s="1" t="s">
        <v>488</v>
      </c>
      <c r="B466" s="1" t="s">
        <v>489</v>
      </c>
      <c r="D466" s="2">
        <v>45967</v>
      </c>
      <c r="E466" s="1">
        <v>189</v>
      </c>
      <c r="F466" s="1" t="s">
        <v>125</v>
      </c>
      <c r="K466" s="6">
        <f t="shared" si="86"/>
        <v>189</v>
      </c>
      <c r="L466" s="1" t="str">
        <f t="shared" si="82"/>
        <v/>
      </c>
      <c r="M466" s="1">
        <v>1</v>
      </c>
    </row>
    <row r="467" spans="1:13" x14ac:dyDescent="0.45">
      <c r="A467" s="1" t="s">
        <v>488</v>
      </c>
      <c r="B467" s="1" t="s">
        <v>511</v>
      </c>
      <c r="D467" s="2">
        <v>45967</v>
      </c>
      <c r="E467" s="1">
        <v>189</v>
      </c>
      <c r="F467" s="1" t="s">
        <v>125</v>
      </c>
      <c r="K467" s="6">
        <f t="shared" ref="K467" si="101">E467+G467</f>
        <v>189</v>
      </c>
      <c r="L467" s="1" t="str">
        <f t="shared" si="82"/>
        <v/>
      </c>
      <c r="M467" s="1">
        <v>1</v>
      </c>
    </row>
    <row r="468" spans="1:13" x14ac:dyDescent="0.45">
      <c r="A468" s="1" t="s">
        <v>488</v>
      </c>
      <c r="B468" s="1" t="s">
        <v>544</v>
      </c>
      <c r="D468" s="2">
        <v>45994</v>
      </c>
      <c r="E468" s="1">
        <v>198</v>
      </c>
      <c r="F468" s="1" t="s">
        <v>125</v>
      </c>
      <c r="K468" s="6">
        <f t="shared" ref="K468" si="102">E468+G468</f>
        <v>198</v>
      </c>
      <c r="L468" s="1" t="str">
        <f t="shared" si="82"/>
        <v/>
      </c>
      <c r="M468" s="1">
        <v>1</v>
      </c>
    </row>
    <row r="469" spans="1:13" x14ac:dyDescent="0.45">
      <c r="A469" s="1" t="s">
        <v>503</v>
      </c>
      <c r="B469" s="1" t="s">
        <v>504</v>
      </c>
      <c r="D469" s="2">
        <v>45971</v>
      </c>
      <c r="E469" s="3">
        <f>584/3</f>
        <v>194.66666666666666</v>
      </c>
      <c r="F469" s="1" t="s">
        <v>125</v>
      </c>
      <c r="K469" s="6">
        <f t="shared" si="86"/>
        <v>194.66666666666666</v>
      </c>
      <c r="L469" s="1" t="str">
        <f t="shared" si="82"/>
        <v/>
      </c>
      <c r="M469" s="1">
        <v>1</v>
      </c>
    </row>
    <row r="470" spans="1:13" x14ac:dyDescent="0.45">
      <c r="A470" s="1" t="s">
        <v>503</v>
      </c>
      <c r="B470" s="1" t="s">
        <v>505</v>
      </c>
      <c r="D470" s="2">
        <v>45971</v>
      </c>
      <c r="E470" s="3">
        <f t="shared" ref="E470:E471" si="103">584/3</f>
        <v>194.66666666666666</v>
      </c>
      <c r="F470" s="1" t="s">
        <v>125</v>
      </c>
      <c r="K470" s="6">
        <f t="shared" si="86"/>
        <v>194.66666666666666</v>
      </c>
      <c r="L470" s="1" t="str">
        <f t="shared" si="82"/>
        <v/>
      </c>
      <c r="M470" s="1">
        <v>1</v>
      </c>
    </row>
    <row r="471" spans="1:13" x14ac:dyDescent="0.45">
      <c r="A471" s="1" t="s">
        <v>503</v>
      </c>
      <c r="B471" s="1" t="s">
        <v>506</v>
      </c>
      <c r="D471" s="2">
        <v>45971</v>
      </c>
      <c r="E471" s="3">
        <f t="shared" si="103"/>
        <v>194.66666666666666</v>
      </c>
      <c r="F471" s="1" t="s">
        <v>125</v>
      </c>
      <c r="K471" s="6">
        <f t="shared" si="86"/>
        <v>194.66666666666666</v>
      </c>
      <c r="L471" s="1" t="str">
        <f t="shared" si="82"/>
        <v/>
      </c>
      <c r="M471" s="1">
        <v>1</v>
      </c>
    </row>
    <row r="472" spans="1:13" x14ac:dyDescent="0.45">
      <c r="A472" s="1" t="s">
        <v>341</v>
      </c>
      <c r="B472" s="1" t="s">
        <v>342</v>
      </c>
      <c r="C472" s="1" t="s">
        <v>550</v>
      </c>
      <c r="D472" s="2">
        <v>45367</v>
      </c>
      <c r="E472" s="1">
        <v>65</v>
      </c>
      <c r="F472" s="1" t="s">
        <v>341</v>
      </c>
      <c r="G472" s="3">
        <f>-723/10</f>
        <v>-72.3</v>
      </c>
      <c r="H472" s="2">
        <v>46009</v>
      </c>
      <c r="K472" s="6">
        <f t="shared" si="86"/>
        <v>-7.2999999999999972</v>
      </c>
      <c r="L472" s="1">
        <f t="shared" si="82"/>
        <v>1</v>
      </c>
      <c r="M472" s="1">
        <v>1</v>
      </c>
    </row>
    <row r="473" spans="1:13" x14ac:dyDescent="0.45">
      <c r="A473" s="1" t="s">
        <v>341</v>
      </c>
      <c r="B473" s="1" t="s">
        <v>343</v>
      </c>
      <c r="C473" s="1" t="s">
        <v>550</v>
      </c>
      <c r="D473" s="2">
        <v>45367</v>
      </c>
      <c r="E473" s="1">
        <v>65</v>
      </c>
      <c r="F473" s="1" t="s">
        <v>341</v>
      </c>
      <c r="G473" s="3">
        <f>-723/10</f>
        <v>-72.3</v>
      </c>
      <c r="H473" s="2">
        <v>46009</v>
      </c>
      <c r="K473" s="6">
        <f t="shared" si="86"/>
        <v>-7.2999999999999972</v>
      </c>
      <c r="L473" s="1">
        <f t="shared" si="82"/>
        <v>1</v>
      </c>
      <c r="M473" s="1">
        <v>1</v>
      </c>
    </row>
    <row r="474" spans="1:13" x14ac:dyDescent="0.45">
      <c r="A474" s="1" t="s">
        <v>341</v>
      </c>
      <c r="B474" s="1" t="s">
        <v>551</v>
      </c>
      <c r="C474" s="1" t="s">
        <v>557</v>
      </c>
      <c r="D474" s="2">
        <v>45367</v>
      </c>
      <c r="E474" s="1">
        <f>650/10*8</f>
        <v>520</v>
      </c>
      <c r="F474" s="1" t="s">
        <v>341</v>
      </c>
      <c r="G474" s="3">
        <f>-723/10*8</f>
        <v>-578.4</v>
      </c>
      <c r="H474" s="2">
        <v>46009</v>
      </c>
      <c r="K474" s="6">
        <f t="shared" si="86"/>
        <v>-58.399999999999977</v>
      </c>
      <c r="L474" s="1">
        <f t="shared" si="82"/>
        <v>0</v>
      </c>
      <c r="M474" s="1">
        <v>8</v>
      </c>
    </row>
    <row r="475" spans="1:13" x14ac:dyDescent="0.45">
      <c r="A475" s="1" t="s">
        <v>341</v>
      </c>
      <c r="B475" s="1" t="s">
        <v>549</v>
      </c>
      <c r="C475" s="1" t="s">
        <v>557</v>
      </c>
      <c r="D475" s="2">
        <v>45367</v>
      </c>
      <c r="E475" s="1">
        <v>650</v>
      </c>
      <c r="F475" s="1" t="s">
        <v>341</v>
      </c>
      <c r="G475" s="1">
        <v>-739</v>
      </c>
      <c r="H475" s="2">
        <v>46001</v>
      </c>
      <c r="K475" s="6">
        <f t="shared" si="86"/>
        <v>-89</v>
      </c>
      <c r="L475" s="1">
        <f t="shared" ref="L475:L485" si="104">IF(C475="V",1,IF(C475="X",0,""))</f>
        <v>0</v>
      </c>
      <c r="M475" s="1">
        <v>10</v>
      </c>
    </row>
    <row r="476" spans="1:13" x14ac:dyDescent="0.45">
      <c r="A476" s="1" t="s">
        <v>341</v>
      </c>
      <c r="B476" s="1" t="s">
        <v>344</v>
      </c>
      <c r="C476" s="1" t="s">
        <v>118</v>
      </c>
      <c r="D476" s="2">
        <v>45287</v>
      </c>
      <c r="E476" s="1">
        <v>3240</v>
      </c>
      <c r="F476" s="1" t="s">
        <v>341</v>
      </c>
      <c r="G476" s="1">
        <f>-1222-1201</f>
        <v>-2423</v>
      </c>
      <c r="H476" s="2">
        <v>45403</v>
      </c>
      <c r="K476" s="6">
        <f t="shared" si="86"/>
        <v>817</v>
      </c>
      <c r="L476" s="1">
        <v>100</v>
      </c>
      <c r="M476" s="1">
        <v>100</v>
      </c>
    </row>
    <row r="477" spans="1:13" x14ac:dyDescent="0.45">
      <c r="A477" s="1" t="s">
        <v>341</v>
      </c>
      <c r="B477" s="1" t="s">
        <v>658</v>
      </c>
      <c r="C477" s="1" t="s">
        <v>118</v>
      </c>
      <c r="D477" s="2">
        <v>45233</v>
      </c>
      <c r="E477" s="3">
        <f>2990/36</f>
        <v>83.055555555555557</v>
      </c>
      <c r="F477" s="1" t="s">
        <v>341</v>
      </c>
      <c r="I477" s="2">
        <v>45970</v>
      </c>
      <c r="K477" s="6">
        <f t="shared" ref="K477" si="105">E477+G477</f>
        <v>83.055555555555557</v>
      </c>
      <c r="L477" s="1">
        <f t="shared" si="104"/>
        <v>1</v>
      </c>
      <c r="M477" s="1">
        <v>1</v>
      </c>
    </row>
    <row r="478" spans="1:13" x14ac:dyDescent="0.45">
      <c r="A478" s="1" t="s">
        <v>341</v>
      </c>
      <c r="B478" s="1" t="s">
        <v>657</v>
      </c>
      <c r="C478" s="1" t="s">
        <v>507</v>
      </c>
      <c r="D478" s="2">
        <v>45233</v>
      </c>
      <c r="E478" s="3">
        <f>2990/36</f>
        <v>83.055555555555557</v>
      </c>
      <c r="F478" s="1" t="s">
        <v>341</v>
      </c>
      <c r="I478" s="2">
        <v>45972</v>
      </c>
      <c r="K478" s="6">
        <f t="shared" ref="K478" si="106">E478+G478</f>
        <v>83.055555555555557</v>
      </c>
      <c r="L478" s="1">
        <f t="shared" si="104"/>
        <v>1</v>
      </c>
      <c r="M478" s="1">
        <v>1</v>
      </c>
    </row>
    <row r="479" spans="1:13" x14ac:dyDescent="0.45">
      <c r="A479" s="1" t="s">
        <v>341</v>
      </c>
      <c r="B479" s="1" t="s">
        <v>656</v>
      </c>
      <c r="C479" s="1" t="s">
        <v>118</v>
      </c>
      <c r="D479" s="2">
        <v>45233</v>
      </c>
      <c r="E479" s="3">
        <f>2990/36</f>
        <v>83.055555555555557</v>
      </c>
      <c r="F479" s="1" t="s">
        <v>341</v>
      </c>
      <c r="I479" s="2">
        <v>45974</v>
      </c>
      <c r="K479" s="6">
        <f t="shared" ref="K479" si="107">E479+G479</f>
        <v>83.055555555555557</v>
      </c>
      <c r="L479" s="1">
        <f t="shared" si="104"/>
        <v>1</v>
      </c>
      <c r="M479" s="1">
        <v>1</v>
      </c>
    </row>
    <row r="480" spans="1:13" x14ac:dyDescent="0.45">
      <c r="A480" s="1" t="s">
        <v>341</v>
      </c>
      <c r="B480" s="1" t="s">
        <v>655</v>
      </c>
      <c r="C480" s="1" t="s">
        <v>118</v>
      </c>
      <c r="D480" s="2">
        <v>45233</v>
      </c>
      <c r="E480" s="3">
        <f>2990/36</f>
        <v>83.055555555555557</v>
      </c>
      <c r="F480" s="1" t="s">
        <v>341</v>
      </c>
      <c r="I480" s="2">
        <v>46100</v>
      </c>
      <c r="K480" s="6">
        <f t="shared" ref="K480" si="108">E480+G480</f>
        <v>83.055555555555557</v>
      </c>
      <c r="L480" s="1">
        <f t="shared" ref="L480" si="109">IF(C480="V",1,IF(C480="X",0,""))</f>
        <v>1</v>
      </c>
      <c r="M480" s="1">
        <v>1</v>
      </c>
    </row>
    <row r="481" spans="1:14" x14ac:dyDescent="0.45">
      <c r="A481" s="1" t="s">
        <v>341</v>
      </c>
      <c r="B481" s="1" t="s">
        <v>659</v>
      </c>
      <c r="D481" s="2">
        <v>45233</v>
      </c>
      <c r="E481" s="3">
        <f>2990-SUM(E477:E480)</f>
        <v>2657.7777777777778</v>
      </c>
      <c r="F481" s="1" t="s">
        <v>341</v>
      </c>
      <c r="K481" s="6">
        <f>E481+G481</f>
        <v>2657.7777777777778</v>
      </c>
      <c r="L481" s="1" t="str">
        <f t="shared" si="104"/>
        <v/>
      </c>
      <c r="M481" s="1">
        <f>36-SUM(M477:M480)</f>
        <v>32</v>
      </c>
    </row>
    <row r="482" spans="1:14" x14ac:dyDescent="0.45">
      <c r="A482" s="1" t="s">
        <v>341</v>
      </c>
      <c r="B482" s="1" t="s">
        <v>662</v>
      </c>
      <c r="D482" s="2">
        <v>45215</v>
      </c>
      <c r="E482" s="1">
        <f>2100-890</f>
        <v>1210</v>
      </c>
      <c r="F482" s="1" t="s">
        <v>341</v>
      </c>
      <c r="K482" s="6">
        <f>E482+G482</f>
        <v>1210</v>
      </c>
      <c r="L482" s="1" t="str">
        <f t="shared" si="104"/>
        <v/>
      </c>
      <c r="M482" s="1">
        <v>20</v>
      </c>
    </row>
    <row r="483" spans="1:14" x14ac:dyDescent="0.45">
      <c r="A483" s="1" t="s">
        <v>341</v>
      </c>
      <c r="B483" s="1" t="s">
        <v>663</v>
      </c>
      <c r="C483" s="1" t="s">
        <v>664</v>
      </c>
      <c r="D483" s="2">
        <v>45215</v>
      </c>
      <c r="E483" s="1">
        <v>890</v>
      </c>
      <c r="F483" s="1" t="s">
        <v>341</v>
      </c>
      <c r="G483" s="1">
        <v>-809</v>
      </c>
      <c r="H483" s="2">
        <v>46111</v>
      </c>
      <c r="K483" s="6">
        <f>E483+G483</f>
        <v>81</v>
      </c>
      <c r="L483" s="1">
        <f t="shared" ref="L483" si="110">IF(C483="V",1,IF(C483="X",0,""))</f>
        <v>0</v>
      </c>
      <c r="M483" s="1">
        <v>8</v>
      </c>
    </row>
    <row r="484" spans="1:14" x14ac:dyDescent="0.45">
      <c r="A484" s="1" t="s">
        <v>341</v>
      </c>
      <c r="B484" s="1" t="s">
        <v>362</v>
      </c>
      <c r="C484" s="1" t="s">
        <v>118</v>
      </c>
      <c r="D484" s="2">
        <v>45182</v>
      </c>
      <c r="E484" s="1">
        <v>799</v>
      </c>
      <c r="F484" s="1" t="s">
        <v>341</v>
      </c>
      <c r="G484" s="1">
        <v>-573</v>
      </c>
      <c r="K484" s="6">
        <f t="shared" si="86"/>
        <v>226</v>
      </c>
      <c r="L484" s="1">
        <v>15</v>
      </c>
      <c r="M484" s="1">
        <v>15</v>
      </c>
    </row>
    <row r="485" spans="1:14" x14ac:dyDescent="0.45">
      <c r="A485" s="1" t="s">
        <v>546</v>
      </c>
      <c r="B485" s="1" t="s">
        <v>547</v>
      </c>
      <c r="D485" s="2">
        <v>45994</v>
      </c>
      <c r="E485" s="1">
        <v>185</v>
      </c>
      <c r="F485" s="1" t="s">
        <v>548</v>
      </c>
      <c r="K485" s="6">
        <f t="shared" ref="K485:K492" si="111">E485+G485</f>
        <v>185</v>
      </c>
      <c r="L485" s="1" t="str">
        <f t="shared" si="104"/>
        <v/>
      </c>
      <c r="M485" s="1">
        <v>1</v>
      </c>
    </row>
    <row r="486" spans="1:14" x14ac:dyDescent="0.45">
      <c r="A486" s="1" t="s">
        <v>546</v>
      </c>
      <c r="B486" s="1" t="s">
        <v>610</v>
      </c>
      <c r="C486" s="1" t="s">
        <v>631</v>
      </c>
      <c r="D486" s="2">
        <v>46088</v>
      </c>
      <c r="E486" s="1">
        <v>185</v>
      </c>
      <c r="F486" s="1" t="s">
        <v>125</v>
      </c>
      <c r="H486" s="2"/>
      <c r="I486" s="2">
        <v>46088</v>
      </c>
      <c r="K486" s="6">
        <f t="shared" ref="K486" si="112">E486+G486</f>
        <v>185</v>
      </c>
      <c r="L486" s="1">
        <f t="shared" ref="L486" si="113">IF(C486="V",1,IF(C486="X",0,""))</f>
        <v>1</v>
      </c>
      <c r="M486" s="1">
        <v>1</v>
      </c>
    </row>
    <row r="487" spans="1:14" x14ac:dyDescent="0.45">
      <c r="A487" s="1" t="s">
        <v>561</v>
      </c>
      <c r="B487" s="1" t="s">
        <v>564</v>
      </c>
      <c r="D487" s="2">
        <v>46014</v>
      </c>
      <c r="E487" s="1">
        <v>231</v>
      </c>
      <c r="F487" s="1" t="s">
        <v>563</v>
      </c>
      <c r="J487" s="1" t="s">
        <v>576</v>
      </c>
      <c r="K487" s="6">
        <f t="shared" si="111"/>
        <v>231</v>
      </c>
      <c r="M487" s="1">
        <v>1</v>
      </c>
    </row>
    <row r="488" spans="1:14" x14ac:dyDescent="0.45">
      <c r="A488" s="1" t="s">
        <v>561</v>
      </c>
      <c r="B488" s="1" t="s">
        <v>565</v>
      </c>
      <c r="C488" s="1" t="s">
        <v>578</v>
      </c>
      <c r="D488" s="2">
        <v>46014</v>
      </c>
      <c r="E488" s="1">
        <v>231</v>
      </c>
      <c r="F488" s="1" t="s">
        <v>563</v>
      </c>
      <c r="I488" s="2">
        <v>46018</v>
      </c>
      <c r="J488" s="1" t="s">
        <v>576</v>
      </c>
      <c r="K488" s="6">
        <f t="shared" si="111"/>
        <v>231</v>
      </c>
      <c r="L488" s="1">
        <f t="shared" ref="L488:L498" si="114">IF(C488="V",1,IF(C488="X",0,""))</f>
        <v>1</v>
      </c>
      <c r="M488" s="1">
        <v>1</v>
      </c>
    </row>
    <row r="489" spans="1:14" x14ac:dyDescent="0.45">
      <c r="A489" s="1" t="s">
        <v>561</v>
      </c>
      <c r="B489" s="1" t="s">
        <v>566</v>
      </c>
      <c r="C489" s="1" t="s">
        <v>578</v>
      </c>
      <c r="D489" s="2">
        <v>46014</v>
      </c>
      <c r="E489" s="1">
        <v>231</v>
      </c>
      <c r="F489" s="1" t="s">
        <v>563</v>
      </c>
      <c r="I489" s="2">
        <v>46019</v>
      </c>
      <c r="J489" s="1" t="s">
        <v>580</v>
      </c>
      <c r="K489" s="6">
        <f t="shared" si="111"/>
        <v>231</v>
      </c>
      <c r="L489" s="1">
        <f t="shared" si="114"/>
        <v>1</v>
      </c>
      <c r="M489" s="1">
        <v>1</v>
      </c>
      <c r="N489" s="2">
        <v>46109</v>
      </c>
    </row>
    <row r="490" spans="1:14" x14ac:dyDescent="0.45">
      <c r="A490" s="1" t="s">
        <v>561</v>
      </c>
      <c r="B490" s="1" t="s">
        <v>567</v>
      </c>
      <c r="D490" s="2">
        <v>46014</v>
      </c>
      <c r="E490" s="1">
        <v>165</v>
      </c>
      <c r="F490" s="1" t="s">
        <v>563</v>
      </c>
      <c r="J490" s="1" t="s">
        <v>580</v>
      </c>
      <c r="K490" s="6">
        <f t="shared" si="111"/>
        <v>165</v>
      </c>
      <c r="L490" s="1" t="str">
        <f t="shared" si="114"/>
        <v/>
      </c>
      <c r="M490" s="1">
        <v>1</v>
      </c>
    </row>
    <row r="491" spans="1:14" x14ac:dyDescent="0.45">
      <c r="A491" s="1" t="s">
        <v>561</v>
      </c>
      <c r="B491" s="1" t="s">
        <v>568</v>
      </c>
      <c r="D491" s="2">
        <v>46014</v>
      </c>
      <c r="E491" s="1">
        <v>277</v>
      </c>
      <c r="F491" s="1" t="s">
        <v>562</v>
      </c>
      <c r="J491" s="1" t="s">
        <v>580</v>
      </c>
      <c r="K491" s="6">
        <f t="shared" si="111"/>
        <v>277</v>
      </c>
      <c r="L491" s="1" t="str">
        <f t="shared" si="114"/>
        <v/>
      </c>
      <c r="M491" s="1">
        <v>1</v>
      </c>
    </row>
    <row r="492" spans="1:14" x14ac:dyDescent="0.45">
      <c r="A492" s="1" t="s">
        <v>561</v>
      </c>
      <c r="B492" s="1" t="s">
        <v>569</v>
      </c>
      <c r="D492" s="2">
        <v>46014</v>
      </c>
      <c r="E492" s="1">
        <v>0</v>
      </c>
      <c r="F492" s="1" t="s">
        <v>563</v>
      </c>
      <c r="J492" s="1" t="s">
        <v>580</v>
      </c>
      <c r="K492" s="6">
        <f t="shared" si="111"/>
        <v>0</v>
      </c>
      <c r="L492" s="1" t="str">
        <f t="shared" si="114"/>
        <v/>
      </c>
      <c r="M492" s="1">
        <v>1</v>
      </c>
    </row>
    <row r="493" spans="1:14" x14ac:dyDescent="0.45">
      <c r="A493" s="1" t="s">
        <v>561</v>
      </c>
      <c r="B493" s="1" t="s">
        <v>570</v>
      </c>
      <c r="C493" s="1" t="s">
        <v>585</v>
      </c>
      <c r="D493" s="2">
        <v>46014</v>
      </c>
      <c r="E493" s="1">
        <v>185</v>
      </c>
      <c r="F493" s="1" t="s">
        <v>563</v>
      </c>
      <c r="I493" s="2">
        <v>46024</v>
      </c>
      <c r="J493" s="1" t="s">
        <v>580</v>
      </c>
      <c r="K493" s="6">
        <f t="shared" ref="K493:K501" si="115">E493+G493</f>
        <v>185</v>
      </c>
      <c r="L493" s="1">
        <f t="shared" si="114"/>
        <v>1</v>
      </c>
      <c r="M493" s="1">
        <v>1</v>
      </c>
    </row>
    <row r="494" spans="1:14" x14ac:dyDescent="0.45">
      <c r="A494" s="1" t="s">
        <v>561</v>
      </c>
      <c r="B494" s="1" t="s">
        <v>571</v>
      </c>
      <c r="C494" s="1" t="s">
        <v>118</v>
      </c>
      <c r="D494" s="2">
        <v>46014</v>
      </c>
      <c r="E494" s="1">
        <v>185</v>
      </c>
      <c r="F494" s="1" t="s">
        <v>563</v>
      </c>
      <c r="I494" s="2">
        <v>46032</v>
      </c>
      <c r="J494" s="1" t="s">
        <v>580</v>
      </c>
      <c r="K494" s="6">
        <f t="shared" si="115"/>
        <v>185</v>
      </c>
      <c r="L494" s="1">
        <f t="shared" si="114"/>
        <v>1</v>
      </c>
      <c r="M494" s="1">
        <v>1</v>
      </c>
    </row>
    <row r="495" spans="1:14" x14ac:dyDescent="0.45">
      <c r="A495" s="1" t="s">
        <v>561</v>
      </c>
      <c r="B495" s="1" t="s">
        <v>572</v>
      </c>
      <c r="D495" s="2">
        <v>46014</v>
      </c>
      <c r="E495" s="1">
        <v>350</v>
      </c>
      <c r="F495" s="1" t="s">
        <v>563</v>
      </c>
      <c r="J495" s="1" t="s">
        <v>580</v>
      </c>
      <c r="K495" s="6">
        <f t="shared" si="115"/>
        <v>350</v>
      </c>
      <c r="L495" s="1" t="str">
        <f t="shared" si="114"/>
        <v/>
      </c>
      <c r="M495" s="1">
        <v>1</v>
      </c>
    </row>
    <row r="496" spans="1:14" x14ac:dyDescent="0.45">
      <c r="A496" s="1" t="s">
        <v>561</v>
      </c>
      <c r="B496" s="1" t="s">
        <v>573</v>
      </c>
      <c r="D496" s="2">
        <v>46014</v>
      </c>
      <c r="E496" s="1">
        <v>264</v>
      </c>
      <c r="F496" s="1" t="s">
        <v>563</v>
      </c>
      <c r="J496" s="1" t="s">
        <v>580</v>
      </c>
      <c r="K496" s="6">
        <f t="shared" si="115"/>
        <v>264</v>
      </c>
      <c r="L496" s="1" t="str">
        <f t="shared" si="114"/>
        <v/>
      </c>
      <c r="M496" s="1">
        <v>1</v>
      </c>
    </row>
    <row r="497" spans="1:13" x14ac:dyDescent="0.45">
      <c r="A497" s="1" t="s">
        <v>561</v>
      </c>
      <c r="B497" s="1" t="s">
        <v>574</v>
      </c>
      <c r="D497" s="2">
        <v>46014</v>
      </c>
      <c r="E497" s="1">
        <v>251</v>
      </c>
      <c r="F497" s="1" t="s">
        <v>562</v>
      </c>
      <c r="J497" s="1" t="s">
        <v>580</v>
      </c>
      <c r="K497" s="6">
        <f t="shared" si="115"/>
        <v>251</v>
      </c>
      <c r="L497" s="1" t="str">
        <f t="shared" si="114"/>
        <v/>
      </c>
      <c r="M497" s="1">
        <v>1</v>
      </c>
    </row>
    <row r="498" spans="1:13" x14ac:dyDescent="0.45">
      <c r="A498" s="1" t="s">
        <v>561</v>
      </c>
      <c r="B498" s="1" t="s">
        <v>575</v>
      </c>
      <c r="D498" s="2">
        <v>46014</v>
      </c>
      <c r="E498" s="1">
        <v>0</v>
      </c>
      <c r="F498" s="1" t="s">
        <v>563</v>
      </c>
      <c r="J498" s="1" t="s">
        <v>580</v>
      </c>
      <c r="K498" s="6">
        <f t="shared" si="115"/>
        <v>0</v>
      </c>
      <c r="L498" s="1" t="str">
        <f t="shared" si="114"/>
        <v/>
      </c>
      <c r="M498" s="1">
        <v>1</v>
      </c>
    </row>
    <row r="499" spans="1:13" x14ac:dyDescent="0.45">
      <c r="A499" s="1" t="s">
        <v>588</v>
      </c>
      <c r="B499" s="1" t="s">
        <v>586</v>
      </c>
      <c r="D499" s="2">
        <v>46028</v>
      </c>
      <c r="E499" s="1">
        <v>114</v>
      </c>
      <c r="F499" s="1" t="s">
        <v>589</v>
      </c>
      <c r="K499" s="6">
        <f t="shared" si="115"/>
        <v>114</v>
      </c>
      <c r="L499" s="1" t="str">
        <f t="shared" ref="L499:L501" si="116">IF(C499="V",1,IF(C499="X",0,""))</f>
        <v/>
      </c>
      <c r="M499" s="1">
        <v>1</v>
      </c>
    </row>
    <row r="500" spans="1:13" x14ac:dyDescent="0.45">
      <c r="A500" s="1" t="s">
        <v>588</v>
      </c>
      <c r="B500" s="1" t="s">
        <v>590</v>
      </c>
      <c r="D500" s="2">
        <v>46028</v>
      </c>
      <c r="E500" s="1">
        <v>114</v>
      </c>
      <c r="F500" s="1" t="s">
        <v>589</v>
      </c>
      <c r="K500" s="6">
        <f t="shared" si="115"/>
        <v>114</v>
      </c>
      <c r="L500" s="1" t="str">
        <f t="shared" si="116"/>
        <v/>
      </c>
      <c r="M500" s="1">
        <v>1</v>
      </c>
    </row>
    <row r="501" spans="1:13" x14ac:dyDescent="0.45">
      <c r="A501" s="1" t="s">
        <v>588</v>
      </c>
      <c r="B501" s="1" t="s">
        <v>591</v>
      </c>
      <c r="D501" s="2">
        <v>46028</v>
      </c>
      <c r="E501" s="1">
        <v>119</v>
      </c>
      <c r="F501" s="1" t="s">
        <v>589</v>
      </c>
      <c r="K501" s="6">
        <f t="shared" si="115"/>
        <v>119</v>
      </c>
      <c r="L501" s="1" t="str">
        <f t="shared" si="116"/>
        <v/>
      </c>
      <c r="M501" s="1">
        <v>1</v>
      </c>
    </row>
    <row r="502" spans="1:13" x14ac:dyDescent="0.45">
      <c r="A502" s="1" t="s">
        <v>633</v>
      </c>
      <c r="B502" s="1" t="s">
        <v>634</v>
      </c>
      <c r="C502" s="1" t="s">
        <v>666</v>
      </c>
      <c r="D502" s="2">
        <v>46061</v>
      </c>
      <c r="E502" s="1">
        <f>490/5</f>
        <v>98</v>
      </c>
      <c r="F502" s="1" t="s">
        <v>639</v>
      </c>
      <c r="I502" s="2">
        <v>46117</v>
      </c>
      <c r="K502" s="6">
        <f t="shared" ref="K502:K506" si="117">E502+G502</f>
        <v>98</v>
      </c>
      <c r="L502" s="1">
        <f t="shared" ref="L502:L516" si="118">IF(C502="V",1,IF(C502="X",0,""))</f>
        <v>1</v>
      </c>
      <c r="M502" s="1">
        <v>1</v>
      </c>
    </row>
    <row r="503" spans="1:13" x14ac:dyDescent="0.45">
      <c r="A503" s="1" t="s">
        <v>633</v>
      </c>
      <c r="B503" s="1" t="s">
        <v>635</v>
      </c>
      <c r="C503" s="1" t="s">
        <v>666</v>
      </c>
      <c r="D503" s="2">
        <v>46061</v>
      </c>
      <c r="E503" s="1">
        <f t="shared" ref="E503:E506" si="119">490/5</f>
        <v>98</v>
      </c>
      <c r="F503" s="1" t="s">
        <v>639</v>
      </c>
      <c r="I503" s="2">
        <v>46117</v>
      </c>
      <c r="K503" s="6">
        <f t="shared" si="117"/>
        <v>98</v>
      </c>
      <c r="L503" s="1">
        <f t="shared" si="118"/>
        <v>1</v>
      </c>
      <c r="M503" s="1">
        <v>1</v>
      </c>
    </row>
    <row r="504" spans="1:13" x14ac:dyDescent="0.45">
      <c r="A504" s="1" t="s">
        <v>633</v>
      </c>
      <c r="B504" s="1" t="s">
        <v>636</v>
      </c>
      <c r="C504" s="1" t="s">
        <v>660</v>
      </c>
      <c r="D504" s="2">
        <v>46061</v>
      </c>
      <c r="E504" s="1">
        <f t="shared" si="119"/>
        <v>98</v>
      </c>
      <c r="F504" s="1" t="s">
        <v>639</v>
      </c>
      <c r="I504" s="2">
        <v>46111</v>
      </c>
      <c r="K504" s="6">
        <f t="shared" si="117"/>
        <v>98</v>
      </c>
      <c r="L504" s="1">
        <f t="shared" si="118"/>
        <v>1</v>
      </c>
      <c r="M504" s="1">
        <v>1</v>
      </c>
    </row>
    <row r="505" spans="1:13" x14ac:dyDescent="0.45">
      <c r="A505" s="1" t="s">
        <v>633</v>
      </c>
      <c r="B505" s="1" t="s">
        <v>637</v>
      </c>
      <c r="C505" s="1" t="s">
        <v>660</v>
      </c>
      <c r="D505" s="2">
        <v>46061</v>
      </c>
      <c r="E505" s="1">
        <f t="shared" si="119"/>
        <v>98</v>
      </c>
      <c r="F505" s="1" t="s">
        <v>639</v>
      </c>
      <c r="I505" s="2">
        <v>46110</v>
      </c>
      <c r="K505" s="6">
        <f t="shared" si="117"/>
        <v>98</v>
      </c>
      <c r="L505" s="1">
        <f t="shared" si="118"/>
        <v>1</v>
      </c>
      <c r="M505" s="1">
        <v>1</v>
      </c>
    </row>
    <row r="506" spans="1:13" x14ac:dyDescent="0.45">
      <c r="A506" s="1" t="s">
        <v>633</v>
      </c>
      <c r="B506" s="1" t="s">
        <v>638</v>
      </c>
      <c r="C506" s="1" t="s">
        <v>660</v>
      </c>
      <c r="D506" s="2">
        <v>46061</v>
      </c>
      <c r="E506" s="1">
        <f t="shared" si="119"/>
        <v>98</v>
      </c>
      <c r="F506" s="1" t="s">
        <v>639</v>
      </c>
      <c r="I506" s="2">
        <v>46109</v>
      </c>
      <c r="K506" s="6">
        <f t="shared" si="117"/>
        <v>98</v>
      </c>
      <c r="L506" s="1">
        <f t="shared" si="118"/>
        <v>1</v>
      </c>
      <c r="M506" s="1">
        <v>1</v>
      </c>
    </row>
    <row r="507" spans="1:13" x14ac:dyDescent="0.45">
      <c r="A507" s="1" t="s">
        <v>641</v>
      </c>
      <c r="B507" s="1" t="s">
        <v>642</v>
      </c>
      <c r="D507" s="2">
        <v>46091</v>
      </c>
      <c r="E507" s="1">
        <f>99</f>
        <v>99</v>
      </c>
      <c r="F507" s="1" t="s">
        <v>184</v>
      </c>
      <c r="K507" s="6">
        <f t="shared" ref="K507:K514" si="120">E507+G507</f>
        <v>99</v>
      </c>
      <c r="L507" s="1" t="str">
        <f t="shared" si="118"/>
        <v/>
      </c>
      <c r="M507" s="1">
        <v>1</v>
      </c>
    </row>
    <row r="508" spans="1:13" x14ac:dyDescent="0.45">
      <c r="A508" s="1" t="s">
        <v>641</v>
      </c>
      <c r="B508" s="1" t="s">
        <v>643</v>
      </c>
      <c r="D508" s="2">
        <v>46091</v>
      </c>
      <c r="E508" s="1">
        <f>251-150/5</f>
        <v>221</v>
      </c>
      <c r="F508" s="1" t="s">
        <v>184</v>
      </c>
      <c r="J508" s="1" t="s">
        <v>651</v>
      </c>
      <c r="K508" s="6">
        <f t="shared" si="120"/>
        <v>221</v>
      </c>
      <c r="L508" s="1" t="str">
        <f t="shared" si="118"/>
        <v/>
      </c>
      <c r="M508" s="1">
        <v>1</v>
      </c>
    </row>
    <row r="509" spans="1:13" x14ac:dyDescent="0.45">
      <c r="A509" s="1" t="s">
        <v>641</v>
      </c>
      <c r="B509" s="1" t="s">
        <v>647</v>
      </c>
      <c r="D509" s="2">
        <v>46091</v>
      </c>
      <c r="E509" s="1">
        <f>304-150/5</f>
        <v>274</v>
      </c>
      <c r="F509" s="1" t="s">
        <v>184</v>
      </c>
      <c r="J509" s="1" t="s">
        <v>651</v>
      </c>
      <c r="K509" s="6">
        <f t="shared" si="120"/>
        <v>274</v>
      </c>
      <c r="L509" s="1" t="str">
        <f t="shared" si="118"/>
        <v/>
      </c>
      <c r="M509" s="1">
        <v>1</v>
      </c>
    </row>
    <row r="510" spans="1:13" x14ac:dyDescent="0.45">
      <c r="A510" s="1" t="s">
        <v>641</v>
      </c>
      <c r="B510" s="1" t="s">
        <v>644</v>
      </c>
      <c r="D510" s="2">
        <v>46091</v>
      </c>
      <c r="E510" s="1">
        <f>304-150/5</f>
        <v>274</v>
      </c>
      <c r="F510" s="1" t="s">
        <v>184</v>
      </c>
      <c r="J510" s="1" t="s">
        <v>651</v>
      </c>
      <c r="K510" s="6">
        <f t="shared" si="120"/>
        <v>274</v>
      </c>
      <c r="L510" s="1" t="str">
        <f t="shared" si="118"/>
        <v/>
      </c>
      <c r="M510" s="1">
        <v>1</v>
      </c>
    </row>
    <row r="511" spans="1:13" x14ac:dyDescent="0.45">
      <c r="A511" s="1" t="s">
        <v>641</v>
      </c>
      <c r="B511" s="1" t="s">
        <v>645</v>
      </c>
      <c r="D511" s="2">
        <v>46091</v>
      </c>
      <c r="E511" s="1">
        <f>211-150/5</f>
        <v>181</v>
      </c>
      <c r="F511" s="1" t="s">
        <v>184</v>
      </c>
      <c r="J511" s="1" t="s">
        <v>651</v>
      </c>
      <c r="K511" s="6">
        <f t="shared" si="120"/>
        <v>181</v>
      </c>
      <c r="L511" s="1" t="str">
        <f t="shared" si="118"/>
        <v/>
      </c>
      <c r="M511" s="1">
        <v>1</v>
      </c>
    </row>
    <row r="512" spans="1:13" x14ac:dyDescent="0.45">
      <c r="A512" s="1" t="s">
        <v>641</v>
      </c>
      <c r="B512" s="1" t="s">
        <v>646</v>
      </c>
      <c r="D512" s="2">
        <v>46091</v>
      </c>
      <c r="E512" s="1">
        <f>277-150/5</f>
        <v>247</v>
      </c>
      <c r="F512" s="1" t="s">
        <v>184</v>
      </c>
      <c r="J512" s="1" t="s">
        <v>651</v>
      </c>
      <c r="K512" s="6">
        <f t="shared" si="120"/>
        <v>247</v>
      </c>
      <c r="L512" s="1" t="str">
        <f t="shared" si="118"/>
        <v/>
      </c>
      <c r="M512" s="1">
        <v>1</v>
      </c>
    </row>
    <row r="513" spans="1:13" x14ac:dyDescent="0.45">
      <c r="A513" s="1" t="s">
        <v>641</v>
      </c>
      <c r="B513" s="1" t="s">
        <v>648</v>
      </c>
      <c r="D513" s="2">
        <v>46091</v>
      </c>
      <c r="E513" s="1">
        <v>0</v>
      </c>
      <c r="F513" s="1" t="s">
        <v>184</v>
      </c>
      <c r="K513" s="6">
        <f t="shared" si="120"/>
        <v>0</v>
      </c>
      <c r="L513" s="1" t="str">
        <f t="shared" si="118"/>
        <v/>
      </c>
      <c r="M513" s="1">
        <v>1</v>
      </c>
    </row>
    <row r="514" spans="1:13" x14ac:dyDescent="0.45">
      <c r="A514" s="1" t="s">
        <v>641</v>
      </c>
      <c r="B514" s="1" t="s">
        <v>649</v>
      </c>
      <c r="D514" s="2">
        <v>46091</v>
      </c>
      <c r="E514" s="1">
        <v>0</v>
      </c>
      <c r="F514" s="1" t="s">
        <v>184</v>
      </c>
      <c r="K514" s="6">
        <f t="shared" si="120"/>
        <v>0</v>
      </c>
      <c r="L514" s="1" t="str">
        <f t="shared" si="118"/>
        <v/>
      </c>
      <c r="M514" s="1">
        <v>1</v>
      </c>
    </row>
    <row r="515" spans="1:13" x14ac:dyDescent="0.45">
      <c r="A515" s="1" t="s">
        <v>641</v>
      </c>
      <c r="B515" s="1" t="s">
        <v>650</v>
      </c>
      <c r="D515" s="2">
        <v>46091</v>
      </c>
      <c r="E515" s="1">
        <v>0</v>
      </c>
      <c r="F515" s="1" t="s">
        <v>184</v>
      </c>
      <c r="K515" s="6">
        <f t="shared" ref="K515:K516" si="121">E515+G515</f>
        <v>0</v>
      </c>
      <c r="L515" s="1" t="str">
        <f t="shared" si="118"/>
        <v/>
      </c>
      <c r="M515" s="1">
        <v>1</v>
      </c>
    </row>
    <row r="516" spans="1:13" x14ac:dyDescent="0.45">
      <c r="A516" s="1" t="s">
        <v>668</v>
      </c>
      <c r="B516" s="1" t="s">
        <v>669</v>
      </c>
      <c r="C516" s="1" t="s">
        <v>666</v>
      </c>
      <c r="D516" s="2">
        <v>45950</v>
      </c>
      <c r="E516" s="1">
        <v>143</v>
      </c>
      <c r="F516" s="1" t="s">
        <v>184</v>
      </c>
      <c r="I516" s="2">
        <v>46118</v>
      </c>
      <c r="K516" s="6">
        <f t="shared" si="121"/>
        <v>143</v>
      </c>
      <c r="L516" s="1">
        <f t="shared" si="118"/>
        <v>1</v>
      </c>
      <c r="M516" s="1">
        <v>1</v>
      </c>
    </row>
    <row r="517" spans="1:13" x14ac:dyDescent="0.45">
      <c r="A517" s="1" t="s">
        <v>672</v>
      </c>
      <c r="B517" s="1" t="s">
        <v>674</v>
      </c>
      <c r="D517" s="2">
        <v>46126</v>
      </c>
      <c r="E517" s="3">
        <f>24500/110</f>
        <v>222.72727272727272</v>
      </c>
      <c r="F517" s="1" t="s">
        <v>673</v>
      </c>
      <c r="K517" s="6">
        <f t="shared" ref="K517" si="122">E517+G517</f>
        <v>222.72727272727272</v>
      </c>
      <c r="L517" s="1" t="str">
        <f t="shared" ref="L517" si="123">IF(C517="V",1,IF(C517="X",0,""))</f>
        <v/>
      </c>
      <c r="M517" s="1">
        <v>1</v>
      </c>
    </row>
  </sheetData>
  <autoFilter ref="A1:M515" xr:uid="{FB91F918-AD59-45C2-9937-56480A976216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B8DF-455F-4787-BD9E-C142273C6214}">
  <dimension ref="A1:A2"/>
  <sheetViews>
    <sheetView workbookViewId="0"/>
  </sheetViews>
  <sheetFormatPr defaultRowHeight="16.75" x14ac:dyDescent="0.45"/>
  <sheetData>
    <row r="1" spans="1:1" x14ac:dyDescent="0.45">
      <c r="A1" t="s">
        <v>518</v>
      </c>
    </row>
    <row r="2" spans="1:1" x14ac:dyDescent="0.45">
      <c r="A2" t="s">
        <v>519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工作表2</vt:lpstr>
      <vt:lpstr>閱謮書單</vt:lpstr>
      <vt:lpstr>讀共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arwen hung</dc:creator>
  <cp:lastModifiedBy>arwen hung</cp:lastModifiedBy>
  <dcterms:created xsi:type="dcterms:W3CDTF">2025-10-24T01:48:03Z</dcterms:created>
  <dcterms:modified xsi:type="dcterms:W3CDTF">2026-04-18T11:05:43Z</dcterms:modified>
</cp:coreProperties>
</file>